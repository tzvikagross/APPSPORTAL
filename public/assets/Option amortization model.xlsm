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Tzvika group\Technology Outsourcing\A ניהול\כלים TOOLS\"/>
    </mc:Choice>
  </mc:AlternateContent>
  <xr:revisionPtr revIDLastSave="0" documentId="13_ncr:1_{D6835723-26D7-4A70-BC95-987EB31A0DF0}" xr6:coauthVersionLast="47" xr6:coauthVersionMax="47" xr10:uidLastSave="{00000000-0000-0000-0000-000000000000}"/>
  <bookViews>
    <workbookView xWindow="-120" yWindow="-120" windowWidth="29040" windowHeight="15840" activeTab="1" xr2:uid="{6D6111B7-02A7-4E0F-8930-DF176229BD55}"/>
  </bookViews>
  <sheets>
    <sheet name="Calculation" sheetId="1" r:id="rId1"/>
    <sheet name="B&amp;S" sheetId="3" r:id="rId2"/>
  </sheets>
  <functionGroups builtInGroupCount="19">
    <functionGroup name="Tzvika"/>
  </functionGroup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a">[1]mnp!#REF!</definedName>
    <definedName name="\b">#REF!</definedName>
    <definedName name="\m">#REF!</definedName>
    <definedName name="\p">#REF!</definedName>
    <definedName name="\q">#REF!</definedName>
    <definedName name="\r">#REF!</definedName>
    <definedName name="__123Graph_A" hidden="1">[2]SA.XLS!#REF!</definedName>
    <definedName name="__123Graph_AQ3" hidden="1">[2]SA.XLS!#REF!</definedName>
    <definedName name="__123Graph_B" hidden="1">[2]SA.XLS!#REF!</definedName>
    <definedName name="__123Graph_BQ3" hidden="1">[2]SA.XLS!#REF!</definedName>
    <definedName name="__123Graph_LBL_A" hidden="1">[2]SA.XLS!#REF!</definedName>
    <definedName name="__123Graph_LBL_AQ3" hidden="1">[2]SA.XLS!#REF!</definedName>
    <definedName name="__123Graph_LBL_B" hidden="1">[2]SA.XLS!#REF!</definedName>
    <definedName name="__123Graph_LBL_BQ3" hidden="1">[2]SA.XLS!#REF!</definedName>
    <definedName name="__123Graph_X" hidden="1">[2]SA.XLS!#REF!</definedName>
    <definedName name="__123Graph_XQ3" hidden="1">[2]SA.XLS!#REF!</definedName>
    <definedName name="__gna1">#REF!</definedName>
    <definedName name="__gna2">#REF!</definedName>
    <definedName name="__plq3">#REF!</definedName>
    <definedName name="__q1">#REF!</definedName>
    <definedName name="__q2">#REF!</definedName>
    <definedName name="__SUM94">#REF!</definedName>
    <definedName name="_1_9_9_5____BUDGET">'[3]AVB-YTD'!#REF!</definedName>
    <definedName name="_gna1">#REF!</definedName>
    <definedName name="_gna2">#REF!</definedName>
    <definedName name="_plq3">#REF!</definedName>
    <definedName name="_q1">#REF!</definedName>
    <definedName name="_q2">#REF!</definedName>
    <definedName name="_SUM94">#REF!</definedName>
    <definedName name="aaa">[4]wwtable!$A$5:$R$58</definedName>
    <definedName name="ACTIV">#REF!</definedName>
    <definedName name="actualמדוייקORBOTECH_ONLY">[5]actualמדויק!#REF!</definedName>
    <definedName name="actualמדויק_CO_COMP">[5]actualמדויק!#REF!</definedName>
    <definedName name="actualמדויק_LIS">[5]actualמדויק!#REF!</definedName>
    <definedName name="actualמדויק_ORB_ON">#REF!</definedName>
    <definedName name="actualמדויק_ORBOGRAPH">[5]actualמדויק!#REF!</definedName>
    <definedName name="actualמדויק_SCHUH">[5]actualמדויק!#REF!</definedName>
    <definedName name="actualמדויקCONso">#REF!</definedName>
    <definedName name="actualמדויקOGRAPH">#REF!</definedName>
    <definedName name="actualמעוגל_LIS">#REF!</definedName>
    <definedName name="actualמעוגל_ORB_CO">#REF!</definedName>
    <definedName name="actualמעוגל_ORB_ON">#REF!</definedName>
    <definedName name="actualמעוגל_ORCOM">#REF!</definedName>
    <definedName name="actualמעוגל_ORGRA">#REF!</definedName>
    <definedName name="actualמעוגל_SCHUH">#REF!</definedName>
    <definedName name="ADD_ENTRIES">#REF!</definedName>
    <definedName name="AJ">[1]mnp!#REF!</definedName>
    <definedName name="ALL_CON">'[1]R&amp;D97'!#REF!</definedName>
    <definedName name="ALLDEPS">#REF!</definedName>
    <definedName name="ASSETS">#REF!</definedName>
    <definedName name="AVB_CON">#REF!</definedName>
    <definedName name="b_mrkt">#REF!</definedName>
    <definedName name="BLA">#REF!</definedName>
    <definedName name="BOARD">#REF!</definedName>
    <definedName name="budget">#REF!</definedName>
    <definedName name="CONSOLIDATE_COMP">[5]actualמדויק!#REF!</definedName>
    <definedName name="CONSOLIDATE_Q">#REF!</definedName>
    <definedName name="ddd">[6]RATIOS!#REF!</definedName>
    <definedName name="EXPECTED">'[1]R&amp;D97'!#REF!</definedName>
    <definedName name="F">[7]CON!$B$1</definedName>
    <definedName name="factor">#REF!</definedName>
    <definedName name="ff">[6]RATIOS!#REF!</definedName>
    <definedName name="FIRST_55">#REF!</definedName>
    <definedName name="FS_ASSETS">[6]RATIOS!#REF!</definedName>
    <definedName name="FS_LIABILIT">#REF!</definedName>
    <definedName name="FS_PL">#REF!</definedName>
    <definedName name="gg">[6]RATIOS!#REF!</definedName>
    <definedName name="hh">[6]RATIOS!#REF!</definedName>
    <definedName name="iii">[6]RATIOS!#REF!</definedName>
    <definedName name="INC">[2]INC.XLS!#REF!</definedName>
    <definedName name="J">'[8]R&amp;D98'!#REF!</definedName>
    <definedName name="LIAB">#REF!</definedName>
    <definedName name="LINCON">'[1]R&amp;D97'!#REF!</definedName>
    <definedName name="LINES">'[1]R&amp;D97'!#REF!</definedName>
    <definedName name="LISDOLLAR">[9]budget!#REF!</definedName>
    <definedName name="LTD">[2]LTD.XLS!#REF!</definedName>
    <definedName name="MAAZAN">'[1]R&amp;D97'!#REF!</definedName>
    <definedName name="MB">#REF!</definedName>
    <definedName name="MNP">#REF!</definedName>
    <definedName name="NOTES">#REF!</definedName>
    <definedName name="NOTES_1">#REF!</definedName>
    <definedName name="NOTES_2">#REF!</definedName>
    <definedName name="NOTES_3">#REF!</definedName>
    <definedName name="NOTES_4">#REF!</definedName>
    <definedName name="NOTES_5">#REF!</definedName>
    <definedName name="OLOCLINES">#REF!</definedName>
    <definedName name="ooo">[6]RATIOS!#REF!</definedName>
    <definedName name="OPL">[2]OPL.XLS!#REF!</definedName>
    <definedName name="ORBO">[9]budget!#REF!</definedName>
    <definedName name="ORBOTECH_ONLY">[5]actualמדויק!#REF!</definedName>
    <definedName name="P_L">#REF!</definedName>
    <definedName name="PASSIV">#REF!</definedName>
    <definedName name="PERPERS">[1]mnp!#REF!</definedName>
    <definedName name="PN">#REF!</definedName>
    <definedName name="PNC">#REF!</definedName>
    <definedName name="ppp">[6]RATIOS!$C$2:$J$42</definedName>
    <definedName name="Print_Area_MI">'[1]R&amp;D97'!#REF!</definedName>
    <definedName name="Q1_GP">#REF!</definedName>
    <definedName name="Q1_Q3">[10]SALES96!$C$42:$J$69</definedName>
    <definedName name="QQQQ">#REF!</definedName>
    <definedName name="RATIOS">#REF!</definedName>
    <definedName name="REHAVIM">'[1]R&amp;D97'!#REF!</definedName>
    <definedName name="REVHEF">#REF!</definedName>
    <definedName name="RND_AND_LINES">#REF!</definedName>
    <definedName name="RNDBUD">'[1]R&amp;D97'!#REF!</definedName>
    <definedName name="RNDCON">'[1]R&amp;D97'!#REF!</definedName>
    <definedName name="rrr">[6]RATIOS!#REF!</definedName>
    <definedName name="SA">[2]SA.XLS!#REF!</definedName>
    <definedName name="sales">[11]GP!#REF!</definedName>
    <definedName name="SERVICE94">[12]SALES95!#REF!</definedName>
    <definedName name="SERVICE95">[12]SALES95!#REF!</definedName>
    <definedName name="SOI_CON">[9]budget!#REF!</definedName>
    <definedName name="SUMMARY">#REF!</definedName>
    <definedName name="ttt">[6]RATIOS!#REF!</definedName>
    <definedName name="uuu">[6]RATIOS!#REF!</definedName>
    <definedName name="WA" hidden="1">[13]SA.XLS!#REF!</definedName>
    <definedName name="WP10_Active">#REF!</definedName>
    <definedName name="WP10_Passive">#REF!</definedName>
    <definedName name="WP10_PL">#REF!</definedName>
    <definedName name="www">[6]RATIOS!#REF!</definedName>
    <definedName name="yyy">[6]RATIOS!#REF!</definedName>
    <definedName name="אי_סחירות">#REF!</definedName>
    <definedName name="אשראי_לקוחות">[14]פרמטרים!$B$28</definedName>
    <definedName name="דולר_9.97">[14]פרמטרים!$B$15</definedName>
    <definedName name="הנהל_כ___אחרות">[14]פרמטרים!$B$57</definedName>
    <definedName name="יואב">[5]actualמדויק!#REF!</definedName>
    <definedName name="מחיר_ההון">#REF!</definedName>
    <definedName name="מלאי_חו_ג">[14]פרמטרים!#REF!</definedName>
    <definedName name="עליית_שכר">[14]פרמטרים!$B$25</definedName>
    <definedName name="עמלה_מעל_8_מיליון">[14]פרמטרים!$B$51</definedName>
    <definedName name="עמלה_עד_8_מיליון">[14]פרמטרים!$B$49</definedName>
    <definedName name="צמיחה_לטווח_ארוך">#REF!</definedName>
    <definedName name="תאום_12.96_6.67">[14]פרמטרים!$B$17</definedName>
  </definedNames>
  <calcPr calcId="191029"/>
  <extLst>
    <ext xmlns:x14="http://schemas.microsoft.com/office/spreadsheetml/2009/9/main" uri="{8193D73E-4604-4355-AFF4-8A2333D13BE4}">
      <x14:definedNames>
        <x14:definedName name="dateAdd">
          <x14:argumentDescriptions count="3">
            <x14:argumentDescription index="0">Starting Date</x14:argumentDescription>
            <x14:argumentDescription index="1">Date part to add Monthly/QuarterlyAnnually</x14:argumentDescription>
            <x14:argumentDescription index="2">Number of Intervals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3" l="1"/>
  <c r="C20" i="3" s="1"/>
  <c r="G18" i="3"/>
  <c r="D13" i="3"/>
  <c r="D18" i="3" s="1"/>
  <c r="O8" i="1" a="1"/>
  <c r="J8" i="1" a="1"/>
  <c r="M8" i="1" a="1"/>
  <c r="O8" i="1" l="1"/>
  <c r="G26" i="3"/>
  <c r="G28" i="3" s="1"/>
  <c r="G20" i="3"/>
  <c r="F18" i="3"/>
  <c r="F26" i="3" s="1"/>
  <c r="F28" i="3" s="1"/>
  <c r="E18" i="3"/>
  <c r="E19" i="3" s="1"/>
  <c r="E21" i="3" s="1"/>
  <c r="C19" i="3"/>
  <c r="C21" i="3" s="1"/>
  <c r="C22" i="3" s="1"/>
  <c r="C14" i="3" s="1"/>
  <c r="G19" i="3"/>
  <c r="C26" i="3"/>
  <c r="C28" i="3" s="1"/>
  <c r="B18" i="3"/>
  <c r="D19" i="3"/>
  <c r="D20" i="3"/>
  <c r="D26" i="3"/>
  <c r="D28" i="3" s="1"/>
  <c r="J8" i="1"/>
  <c r="M8" i="1"/>
  <c r="F19" i="3" l="1"/>
  <c r="F20" i="3"/>
  <c r="E20" i="3"/>
  <c r="E22" i="3" s="1"/>
  <c r="E14" i="3" s="1"/>
  <c r="C27" i="3"/>
  <c r="C29" i="3" s="1"/>
  <c r="E27" i="3"/>
  <c r="E29" i="3" s="1"/>
  <c r="E26" i="3"/>
  <c r="E28" i="3" s="1"/>
  <c r="E30" i="3"/>
  <c r="G27" i="3"/>
  <c r="G29" i="3" s="1"/>
  <c r="G30" i="3" s="1"/>
  <c r="G21" i="3"/>
  <c r="G22" i="3" s="1"/>
  <c r="G14" i="3" s="1"/>
  <c r="B19" i="3"/>
  <c r="B26" i="3"/>
  <c r="B28" i="3" s="1"/>
  <c r="B20" i="3"/>
  <c r="C30" i="3"/>
  <c r="F27" i="3"/>
  <c r="F29" i="3" s="1"/>
  <c r="F30" i="3" s="1"/>
  <c r="F21" i="3"/>
  <c r="F22" i="3" s="1"/>
  <c r="F14" i="3" s="1"/>
  <c r="D21" i="3"/>
  <c r="D22" i="3" s="1"/>
  <c r="D14" i="3" s="1"/>
  <c r="D27" i="3"/>
  <c r="D29" i="3" s="1"/>
  <c r="D30" i="3" s="1"/>
  <c r="N8" i="1"/>
  <c r="B27" i="3" l="1"/>
  <c r="B29" i="3" s="1"/>
  <c r="B30" i="3" s="1"/>
  <c r="B21" i="3"/>
  <c r="B22" i="3" s="1"/>
  <c r="B14" i="3" s="1"/>
  <c r="D8" i="1" s="1"/>
  <c r="P8" i="1"/>
  <c r="Q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<sst xmlns="http://schemas.openxmlformats.org/spreadsheetml/2006/main" count="43" uniqueCount="43">
  <si>
    <t>BS"D</t>
  </si>
  <si>
    <t>IFRS Option Cost Calculator</t>
  </si>
  <si>
    <t>Name</t>
  </si>
  <si>
    <t># of Option</t>
  </si>
  <si>
    <t>1st Vesting Date</t>
  </si>
  <si>
    <t>1st Vesting amount</t>
  </si>
  <si>
    <t>Vesting Intervals</t>
  </si>
  <si>
    <t>Vesting parcels</t>
  </si>
  <si>
    <t>Final Vesting Date</t>
  </si>
  <si>
    <t>Period Start</t>
  </si>
  <si>
    <t>Date</t>
  </si>
  <si>
    <t>Vested option</t>
  </si>
  <si>
    <t>Unvested options</t>
  </si>
  <si>
    <t>Option Value (B&amp;S)</t>
  </si>
  <si>
    <t>Cost Value</t>
  </si>
  <si>
    <t>Joe</t>
  </si>
  <si>
    <t>Quarterly</t>
  </si>
  <si>
    <t>Employee#</t>
  </si>
  <si>
    <t>Prorate # of options</t>
  </si>
  <si>
    <t>Option amount to cost</t>
  </si>
  <si>
    <t>Put Price (Pp)</t>
  </si>
  <si>
    <t>N(-d2)</t>
  </si>
  <si>
    <t>N(-d1)</t>
  </si>
  <si>
    <t>-d2</t>
  </si>
  <si>
    <t>-d1</t>
  </si>
  <si>
    <t>Call Price (Vc)</t>
  </si>
  <si>
    <t>N(d2)</t>
  </si>
  <si>
    <t>N(d1)</t>
  </si>
  <si>
    <t>d2</t>
  </si>
  <si>
    <t>d1</t>
  </si>
  <si>
    <t>Option Price</t>
  </si>
  <si>
    <t>Stock Price  (Ps)</t>
  </si>
  <si>
    <t>Dynamic Chart Outputs</t>
  </si>
  <si>
    <t>Time To Maturity - Yrs (T)</t>
  </si>
  <si>
    <t>Exercise Price (E)</t>
  </si>
  <si>
    <t>Riskfree Rate - Annual (R)</t>
  </si>
  <si>
    <t>Standard Dev - Annual (s)</t>
  </si>
  <si>
    <t>Option Type: 1=Call, 0=Put</t>
  </si>
  <si>
    <t>Inputs</t>
  </si>
  <si>
    <r>
      <t>B</t>
    </r>
    <r>
      <rPr>
        <b/>
        <sz val="14"/>
        <color indexed="10"/>
        <rFont val="Arial"/>
        <family val="2"/>
      </rPr>
      <t>LACK</t>
    </r>
    <r>
      <rPr>
        <b/>
        <sz val="20"/>
        <color indexed="10"/>
        <rFont val="Arial"/>
        <family val="2"/>
      </rPr>
      <t xml:space="preserve"> S</t>
    </r>
    <r>
      <rPr>
        <b/>
        <sz val="14"/>
        <color indexed="10"/>
        <rFont val="Arial"/>
        <family val="2"/>
      </rPr>
      <t>CHOLES</t>
    </r>
    <r>
      <rPr>
        <b/>
        <sz val="18"/>
        <color indexed="10"/>
        <rFont val="Arial"/>
        <family val="2"/>
      </rPr>
      <t xml:space="preserve"> </t>
    </r>
    <r>
      <rPr>
        <b/>
        <sz val="20"/>
        <color indexed="10"/>
        <rFont val="Arial"/>
        <family val="2"/>
      </rPr>
      <t>O</t>
    </r>
    <r>
      <rPr>
        <b/>
        <sz val="14"/>
        <color indexed="10"/>
        <rFont val="Arial"/>
        <family val="2"/>
      </rPr>
      <t xml:space="preserve">PTION </t>
    </r>
    <r>
      <rPr>
        <b/>
        <sz val="20"/>
        <color indexed="10"/>
        <rFont val="Arial"/>
        <family val="2"/>
      </rPr>
      <t>P</t>
    </r>
    <r>
      <rPr>
        <b/>
        <sz val="14"/>
        <color indexed="10"/>
        <rFont val="Arial"/>
        <family val="2"/>
      </rPr>
      <t>RICING</t>
    </r>
  </si>
  <si>
    <t>CALL</t>
  </si>
  <si>
    <t>PUT</t>
  </si>
  <si>
    <t>Grant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</si>
</sst>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_ * #,##0_ ;_ * \-#,##0_ ;_ * &quot;-&quot;??_ ;_ @_ "/>
    <numFmt numFmtId="165" formatCode="yyyy\-mm\-dd;@"/>
    <numFmt numFmtId="166" formatCode="0.000"/>
    <numFmt numFmtId="167" formatCode="0.0000"/>
  </numFmts>
  <fonts count="11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0"/>
      <name val="Arial"/>
      <family val="2"/>
    </font>
    <font>
      <sz val="10"/>
      <name val="Arial"/>
      <charset val="177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20"/>
      <color indexed="10"/>
      <name val="Arial"/>
      <family val="2"/>
    </font>
    <font>
      <b/>
      <sz val="14"/>
      <color indexed="10"/>
      <name val="Arial"/>
      <family val="2"/>
    </font>
    <font>
      <b/>
      <sz val="18"/>
      <color indexed="10"/>
      <name val="Arial"/>
      <family val="2"/>
    </font>
    <font>
      <b/>
      <u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FF99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Font="0" applyBorder="0"/>
    <xf numFmtId="0" fontId="4" fillId="0" borderId="0" applyFont="0" applyBorder="0"/>
  </cellStyleXfs>
  <cellXfs count="2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3" borderId="0" xfId="0" applyFill="1"/>
    <xf numFmtId="164" fontId="0" fillId="2" borderId="0" xfId="1" applyNumberFormat="1" applyFont="1" applyFill="1"/>
    <xf numFmtId="14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4" fontId="0" fillId="3" borderId="0" xfId="1" applyNumberFormat="1" applyFont="1" applyFill="1"/>
    <xf numFmtId="0" fontId="0" fillId="2" borderId="0" xfId="0" applyFill="1" applyAlignment="1">
      <alignment horizontal="center"/>
    </xf>
    <xf numFmtId="43" fontId="0" fillId="2" borderId="0" xfId="1" applyFont="1" applyFill="1"/>
    <xf numFmtId="166" fontId="3" fillId="0" borderId="0" xfId="2" applyNumberFormat="1" applyFont="1"/>
    <xf numFmtId="0" fontId="4" fillId="0" borderId="0" xfId="3"/>
    <xf numFmtId="0" fontId="3" fillId="0" borderId="0" xfId="3" applyFont="1"/>
    <xf numFmtId="166" fontId="3" fillId="4" borderId="1" xfId="2" applyNumberFormat="1" applyFont="1" applyFill="1" applyBorder="1"/>
    <xf numFmtId="167" fontId="3" fillId="2" borderId="0" xfId="2" applyNumberFormat="1" applyFont="1" applyFill="1"/>
    <xf numFmtId="167" fontId="3" fillId="5" borderId="0" xfId="2" applyNumberFormat="1" applyFont="1" applyFill="1"/>
    <xf numFmtId="167" fontId="3" fillId="6" borderId="0" xfId="2" applyNumberFormat="1" applyFont="1" applyFill="1"/>
    <xf numFmtId="166" fontId="3" fillId="2" borderId="0" xfId="2" applyNumberFormat="1" applyFont="1" applyFill="1"/>
    <xf numFmtId="10" fontId="5" fillId="2" borderId="0" xfId="3" applyNumberFormat="1" applyFont="1" applyFill="1"/>
    <xf numFmtId="14" fontId="2" fillId="0" borderId="0" xfId="0" applyNumberFormat="1" applyFont="1" applyAlignment="1">
      <alignment horizontal="center"/>
    </xf>
    <xf numFmtId="14" fontId="6" fillId="0" borderId="0" xfId="3" applyNumberFormat="1" applyFont="1" applyAlignment="1">
      <alignment horizontal="center"/>
    </xf>
    <xf numFmtId="0" fontId="3" fillId="0" borderId="0" xfId="2" applyFont="1" applyBorder="1"/>
    <xf numFmtId="0" fontId="7" fillId="0" borderId="0" xfId="2" applyFont="1" applyBorder="1" applyAlignment="1">
      <alignment horizontal="left" vertical="center"/>
    </xf>
    <xf numFmtId="0" fontId="10" fillId="0" borderId="0" xfId="3" applyFont="1"/>
    <xf numFmtId="0" fontId="2" fillId="0" borderId="0" xfId="0" applyFont="1" applyAlignment="1">
      <alignment horizontal="center"/>
    </xf>
  </cellXfs>
  <cellStyles count="4">
    <cellStyle name="$" xfId="2" xr:uid="{009108DB-BCC8-4364-BFAB-C4D0D78F6323}"/>
    <cellStyle name="Comma" xfId="1" builtinId="3"/>
    <cellStyle name="Normal" xfId="0" builtinId="0"/>
    <cellStyle name="Normal 2" xfId="3" xr:uid="{CA952141-D0E2-4E03-B443-56E72168AB5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XLDATA\BUDLTD97\ALLDEP$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AIN\VOL2\AMIT\AMIT_95\Q4ACTUAL.XLW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telR/Documents/BOARD/95/SO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XLDATA\INVENTOR\ANALYSI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rver\users\a_data\2000\REVIEW\Q1\NEWSOIQ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XLDATA\ACC\PRESENT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rver\users\ACC_DATA\Treasury\budget%2001\budget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rver\users\XLDATA\budltd98\ALLDEP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A_DATA\budjet98\NEWSOIQ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XLDATA\GP\1996\SERVIC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rver\users\ACC_DATA\EDO\BUDGET%209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XLDATA\GP\1997\SERVIC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erver\users\Documents%20and%20Settings\adrian-a\Local%20Settings\Temporary%20Internet%20Files\OLK9\amit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ost_2\sys\KLF\CALCALIT\SHOSHY\CHEMADA\CHEM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i"/>
      <sheetName val="BEP"/>
      <sheetName val="SER_INCOME"/>
      <sheetName val="GP"/>
      <sheetName val="SALES"/>
      <sheetName val="ltd"/>
      <sheetName val="overseas"/>
      <sheetName val="S&amp;M"/>
      <sheetName val="MAIN"/>
      <sheetName val="OPER.97"/>
      <sheetName val="R&amp;D97_B"/>
      <sheetName val="R&amp;D97"/>
      <sheetName val="MIS-97"/>
      <sheetName val="MRKT-97"/>
      <sheetName val="SALES-97"/>
      <sheetName val="SERVICE-97"/>
      <sheetName val="G&amp;A-97"/>
      <sheetName val="MNP2"/>
      <sheetName val="mn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.XLS"/>
      <sheetName val="INC.XLS"/>
      <sheetName val="LTD.XLS"/>
      <sheetName val="OPL.XL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B-YTD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hart1"/>
      <sheetName val="wwtable"/>
      <sheetName val="data_sum"/>
      <sheetName val="Chart_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tualמדויק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hartNET"/>
      <sheetName val="ChartX+Y"/>
      <sheetName val="ChartNETVSREV"/>
      <sheetName val="REV1"/>
      <sheetName val="CHARTNET2"/>
      <sheetName val="data1"/>
      <sheetName val="ChartGP"/>
      <sheetName val="GP"/>
      <sheetName val="ChartBANK"/>
      <sheetName val="BANKS"/>
      <sheetName val="RAT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&amp;D98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actualמדויק"/>
      <sheetName val="actualמעוגל"/>
      <sheetName val="AVB_LAST_Q"/>
      <sheetName val="AVB_YTD"/>
      <sheetName val="%ytd"/>
      <sheetName val="%_last_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_95"/>
      <sheetName val="SALES95"/>
      <sheetName val="SER_96"/>
      <sheetName val="q1"/>
      <sheetName val="q4"/>
      <sheetName val="last-1"/>
      <sheetName val="last"/>
      <sheetName val="expected"/>
      <sheetName val="SER96_EXPECTED"/>
      <sheetName val="SALES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P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_95"/>
      <sheetName val="SALES95"/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.XLS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פרמטרים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E7F4-D2E9-4396-A900-22B66284F35D}">
  <sheetPr codeName="Sheet1"/>
  <dimension ref="A1:Q31"/>
  <sheetViews>
    <sheetView workbookViewId="0">
      <selection activeCell="L9" sqref="L9"/>
    </sheetView>
  </sheetViews>
  <sheetFormatPr defaultRowHeight="14.25" x14ac:dyDescent="0.2"/>
  <cols>
    <col min="1" max="2" width="11.625" customWidth="1"/>
    <col min="3" max="3" width="14" bestFit="1" customWidth="1"/>
    <col min="4" max="7" width="11.625" customWidth="1"/>
    <col min="10" max="10" width="12.375" customWidth="1"/>
    <col min="11" max="11" width="10.125" customWidth="1"/>
    <col min="12" max="12" width="10.375" bestFit="1" customWidth="1"/>
    <col min="14" max="14" width="10.25" customWidth="1"/>
    <col min="15" max="15" width="10.75" customWidth="1"/>
    <col min="16" max="16" width="13.875" customWidth="1"/>
  </cols>
  <sheetData>
    <row r="1" spans="1:17" x14ac:dyDescent="0.2">
      <c r="A1" t="s">
        <v>0</v>
      </c>
    </row>
    <row r="2" spans="1:17" ht="15" x14ac:dyDescent="0.25">
      <c r="F2" s="2" t="s">
        <v>1</v>
      </c>
    </row>
    <row r="4" spans="1:17" ht="15" x14ac:dyDescent="0.25">
      <c r="L4" s="26" t="s">
        <v>9</v>
      </c>
      <c r="M4" s="26"/>
      <c r="N4" s="26"/>
      <c r="O4" s="26"/>
      <c r="P4" s="26"/>
      <c r="Q4" s="26"/>
    </row>
    <row r="5" spans="1:17" s="1" customFormat="1" ht="45" x14ac:dyDescent="0.2">
      <c r="A5" s="1" t="s">
        <v>17</v>
      </c>
      <c r="B5" s="1" t="s">
        <v>2</v>
      </c>
      <c r="C5" s="1" t="s">
        <v>42</v>
      </c>
      <c r="D5" s="1" t="s">
        <v>13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L5" s="1" t="s">
        <v>10</v>
      </c>
      <c r="M5" s="1" t="s">
        <v>11</v>
      </c>
      <c r="N5" s="1" t="s">
        <v>12</v>
      </c>
      <c r="O5" s="1" t="s">
        <v>18</v>
      </c>
      <c r="P5" s="1" t="s">
        <v>19</v>
      </c>
      <c r="Q5" s="1" t="s">
        <v>14</v>
      </c>
    </row>
    <row r="6" spans="1:17" x14ac:dyDescent="0.2">
      <c r="A6" s="10"/>
      <c r="B6" s="3"/>
      <c r="C6" s="7"/>
      <c r="D6" s="3"/>
      <c r="E6" s="5"/>
      <c r="F6" s="7"/>
      <c r="G6" s="3"/>
      <c r="H6" s="3"/>
      <c r="I6" s="3"/>
      <c r="J6" s="8"/>
      <c r="L6" s="7"/>
      <c r="M6" s="4"/>
      <c r="N6" s="4"/>
      <c r="O6" s="4"/>
      <c r="P6" s="4"/>
      <c r="Q6" s="4"/>
    </row>
    <row r="7" spans="1:17" x14ac:dyDescent="0.2">
      <c r="A7" s="10"/>
      <c r="B7" s="3"/>
      <c r="C7" s="7"/>
      <c r="D7" s="3"/>
      <c r="E7" s="5"/>
      <c r="F7" s="7"/>
      <c r="G7" s="3"/>
      <c r="H7" s="3"/>
      <c r="I7" s="3"/>
      <c r="J7" s="8"/>
      <c r="L7" s="7"/>
      <c r="M7" s="4"/>
      <c r="N7" s="4"/>
      <c r="O7" s="4"/>
      <c r="P7" s="4"/>
      <c r="Q7" s="4"/>
    </row>
    <row r="8" spans="1:17" x14ac:dyDescent="0.2">
      <c r="A8" s="10">
        <v>1234</v>
      </c>
      <c r="B8" s="3" t="s">
        <v>15</v>
      </c>
      <c r="C8" s="7">
        <v>44647</v>
      </c>
      <c r="D8" s="11">
        <f>'B&amp;S'!B14</f>
        <v>0.5643674637226892</v>
      </c>
      <c r="E8" s="5">
        <v>25000</v>
      </c>
      <c r="F8" s="7">
        <v>44831</v>
      </c>
      <c r="G8" s="5">
        <v>10000</v>
      </c>
      <c r="H8" s="3" t="s">
        <v>16</v>
      </c>
      <c r="I8" s="5">
        <v>1000</v>
      </c>
      <c r="J8" s="8" cm="1">
        <f t="array" ref="J8">dateAdd(F8,H8,((E8-G8)/I8))</f>
        <v>46200</v>
      </c>
      <c r="L8" s="7">
        <v>44926</v>
      </c>
      <c r="M8" s="9" cm="1">
        <f t="array" ref="M8">vestedOptions(F8,G8,H8,I8,L8)</f>
        <v>11000</v>
      </c>
      <c r="N8" s="9">
        <f>E8-M8</f>
        <v>14000</v>
      </c>
      <c r="O8" s="9" cm="1">
        <f t="array" ref="O8">deductibleAmount(C8,F8,G8,L8,J8,H8,I8)</f>
        <v>4905</v>
      </c>
      <c r="P8" s="9">
        <f>O8+M8</f>
        <v>15905</v>
      </c>
      <c r="Q8" s="9">
        <f>P8*D8</f>
        <v>8976.2645105093725</v>
      </c>
    </row>
    <row r="9" spans="1:17" x14ac:dyDescent="0.2">
      <c r="A9" s="10"/>
      <c r="B9" s="3"/>
      <c r="C9" s="7"/>
      <c r="D9" s="3"/>
      <c r="E9" s="5"/>
      <c r="F9" s="7"/>
      <c r="G9" s="3"/>
      <c r="H9" s="3"/>
      <c r="I9" s="3"/>
      <c r="J9" s="8"/>
      <c r="L9" s="7"/>
      <c r="M9" s="4"/>
      <c r="N9" s="4"/>
      <c r="O9" s="4"/>
      <c r="P9" s="4"/>
      <c r="Q9" s="4"/>
    </row>
    <row r="10" spans="1:17" x14ac:dyDescent="0.2">
      <c r="A10" s="10"/>
      <c r="B10" s="3"/>
      <c r="C10" s="7"/>
      <c r="D10" s="3"/>
      <c r="E10" s="5"/>
      <c r="F10" s="7"/>
      <c r="G10" s="3"/>
      <c r="H10" s="3"/>
      <c r="I10" s="3"/>
      <c r="J10" s="8"/>
      <c r="L10" s="7"/>
      <c r="M10" s="4"/>
      <c r="N10" s="4"/>
      <c r="O10" s="4"/>
      <c r="P10" s="4"/>
      <c r="Q10" s="4"/>
    </row>
    <row r="11" spans="1:17" x14ac:dyDescent="0.2">
      <c r="A11" s="10"/>
      <c r="B11" s="3"/>
      <c r="C11" s="7"/>
      <c r="D11" s="3"/>
      <c r="E11" s="5"/>
      <c r="F11" s="7"/>
      <c r="G11" s="3"/>
      <c r="H11" s="3"/>
      <c r="I11" s="3"/>
      <c r="J11" s="8"/>
      <c r="L11" s="7"/>
      <c r="M11" s="4"/>
      <c r="N11" s="4"/>
      <c r="O11" s="4"/>
      <c r="P11" s="4"/>
      <c r="Q11" s="4"/>
    </row>
    <row r="12" spans="1:17" x14ac:dyDescent="0.2">
      <c r="A12" s="10"/>
      <c r="B12" s="3"/>
      <c r="C12" s="7"/>
      <c r="D12" s="3"/>
      <c r="E12" s="5"/>
      <c r="F12" s="7"/>
      <c r="G12" s="3"/>
      <c r="H12" s="3"/>
      <c r="I12" s="3"/>
      <c r="J12" s="8"/>
      <c r="L12" s="7"/>
      <c r="M12" s="4"/>
      <c r="N12" s="4"/>
      <c r="O12" s="4"/>
      <c r="P12" s="4"/>
      <c r="Q12" s="4"/>
    </row>
    <row r="13" spans="1:17" x14ac:dyDescent="0.2">
      <c r="A13" s="10"/>
      <c r="B13" s="3"/>
      <c r="C13" s="7"/>
      <c r="D13" s="3"/>
      <c r="E13" s="5"/>
      <c r="F13" s="7"/>
      <c r="G13" s="3"/>
      <c r="H13" s="3"/>
      <c r="I13" s="3"/>
      <c r="J13" s="8"/>
      <c r="L13" s="7"/>
      <c r="M13" s="4"/>
      <c r="N13" s="4"/>
      <c r="O13" s="4"/>
      <c r="P13" s="4"/>
      <c r="Q13" s="4"/>
    </row>
    <row r="14" spans="1:17" x14ac:dyDescent="0.2">
      <c r="A14" s="10"/>
      <c r="B14" s="3"/>
      <c r="C14" s="7"/>
      <c r="D14" s="3"/>
      <c r="E14" s="5"/>
      <c r="F14" s="7"/>
      <c r="G14" s="3"/>
      <c r="H14" s="3"/>
      <c r="I14" s="3"/>
      <c r="J14" s="8"/>
      <c r="L14" s="7"/>
      <c r="M14" s="4"/>
      <c r="N14" s="4"/>
      <c r="O14" s="4"/>
      <c r="P14" s="4"/>
      <c r="Q14" s="4"/>
    </row>
    <row r="15" spans="1:17" x14ac:dyDescent="0.2">
      <c r="A15" s="10"/>
      <c r="B15" s="3"/>
      <c r="C15" s="7"/>
      <c r="D15" s="3"/>
      <c r="E15" s="5"/>
      <c r="F15" s="7"/>
      <c r="G15" s="3"/>
      <c r="H15" s="3"/>
      <c r="I15" s="3"/>
      <c r="J15" s="8"/>
      <c r="L15" s="7"/>
      <c r="M15" s="4"/>
      <c r="N15" s="4"/>
      <c r="O15" s="4"/>
      <c r="P15" s="4"/>
      <c r="Q15" s="4"/>
    </row>
    <row r="16" spans="1:17" x14ac:dyDescent="0.2">
      <c r="A16" s="10"/>
      <c r="B16" s="3"/>
      <c r="C16" s="7"/>
      <c r="D16" s="3"/>
      <c r="E16" s="5"/>
      <c r="F16" s="7"/>
      <c r="G16" s="3"/>
      <c r="H16" s="3"/>
      <c r="I16" s="3"/>
      <c r="J16" s="8"/>
      <c r="L16" s="7"/>
      <c r="M16" s="4"/>
      <c r="N16" s="4"/>
      <c r="O16" s="4"/>
      <c r="P16" s="4"/>
      <c r="Q16" s="4"/>
    </row>
    <row r="17" spans="1:17" x14ac:dyDescent="0.2">
      <c r="A17" s="10"/>
      <c r="B17" s="3"/>
      <c r="C17" s="7"/>
      <c r="D17" s="3"/>
      <c r="E17" s="5"/>
      <c r="F17" s="7"/>
      <c r="G17" s="3"/>
      <c r="H17" s="3"/>
      <c r="I17" s="3"/>
      <c r="J17" s="8"/>
      <c r="L17" s="7"/>
      <c r="M17" s="4"/>
      <c r="N17" s="4"/>
      <c r="O17" s="4"/>
      <c r="P17" s="4"/>
      <c r="Q17" s="4"/>
    </row>
    <row r="18" spans="1:17" x14ac:dyDescent="0.2">
      <c r="A18" s="10"/>
      <c r="B18" s="3"/>
      <c r="C18" s="7"/>
      <c r="D18" s="3"/>
      <c r="E18" s="5"/>
      <c r="F18" s="7"/>
      <c r="G18" s="3"/>
      <c r="H18" s="3"/>
      <c r="I18" s="3"/>
      <c r="J18" s="8"/>
      <c r="L18" s="7"/>
      <c r="M18" s="4"/>
      <c r="N18" s="4"/>
      <c r="O18" s="4"/>
      <c r="P18" s="4"/>
      <c r="Q18" s="4"/>
    </row>
    <row r="19" spans="1:17" x14ac:dyDescent="0.2">
      <c r="A19" s="10"/>
      <c r="B19" s="3"/>
      <c r="C19" s="7"/>
      <c r="D19" s="3"/>
      <c r="E19" s="5"/>
      <c r="F19" s="7"/>
      <c r="G19" s="3"/>
      <c r="H19" s="3"/>
      <c r="I19" s="3"/>
      <c r="J19" s="8"/>
      <c r="L19" s="7"/>
      <c r="M19" s="4"/>
      <c r="N19" s="4"/>
      <c r="O19" s="4"/>
      <c r="P19" s="4"/>
      <c r="Q19" s="4"/>
    </row>
    <row r="20" spans="1:17" x14ac:dyDescent="0.2">
      <c r="A20" s="10"/>
      <c r="B20" s="3"/>
      <c r="C20" s="7"/>
      <c r="D20" s="3"/>
      <c r="E20" s="5"/>
      <c r="F20" s="7"/>
      <c r="G20" s="3"/>
      <c r="H20" s="3"/>
      <c r="I20" s="3"/>
      <c r="J20" s="8"/>
      <c r="L20" s="7"/>
      <c r="M20" s="4"/>
      <c r="N20" s="4"/>
      <c r="O20" s="4"/>
      <c r="P20" s="4"/>
      <c r="Q20" s="4"/>
    </row>
    <row r="21" spans="1:17" x14ac:dyDescent="0.2">
      <c r="A21" s="10"/>
      <c r="B21" s="3"/>
      <c r="C21" s="7"/>
      <c r="D21" s="3"/>
      <c r="E21" s="5"/>
      <c r="F21" s="7"/>
      <c r="G21" s="3"/>
      <c r="H21" s="3"/>
      <c r="I21" s="3"/>
      <c r="J21" s="8"/>
      <c r="L21" s="7"/>
      <c r="M21" s="4"/>
      <c r="N21" s="4"/>
      <c r="O21" s="4"/>
      <c r="P21" s="4"/>
      <c r="Q21" s="4"/>
    </row>
    <row r="22" spans="1:17" x14ac:dyDescent="0.2">
      <c r="A22" s="10"/>
      <c r="B22" s="3"/>
      <c r="C22" s="7"/>
      <c r="D22" s="3"/>
      <c r="E22" s="5"/>
      <c r="F22" s="7"/>
      <c r="G22" s="3"/>
      <c r="H22" s="3"/>
      <c r="I22" s="3"/>
      <c r="J22" s="8"/>
      <c r="L22" s="7"/>
      <c r="M22" s="4"/>
      <c r="N22" s="4"/>
      <c r="O22" s="4"/>
      <c r="P22" s="4"/>
      <c r="Q22" s="4"/>
    </row>
    <row r="23" spans="1:17" x14ac:dyDescent="0.2">
      <c r="A23" s="10"/>
      <c r="B23" s="3"/>
      <c r="C23" s="7"/>
      <c r="D23" s="3"/>
      <c r="E23" s="5"/>
      <c r="F23" s="7"/>
      <c r="G23" s="3"/>
      <c r="H23" s="3"/>
      <c r="I23" s="3"/>
      <c r="J23" s="8"/>
      <c r="L23" s="7"/>
      <c r="M23" s="4"/>
      <c r="N23" s="4"/>
      <c r="O23" s="4"/>
      <c r="P23" s="4"/>
      <c r="Q23" s="4"/>
    </row>
    <row r="24" spans="1:17" x14ac:dyDescent="0.2">
      <c r="A24" s="10"/>
      <c r="B24" s="3"/>
      <c r="C24" s="7"/>
      <c r="D24" s="3"/>
      <c r="E24" s="5"/>
      <c r="F24" s="7"/>
      <c r="G24" s="3"/>
      <c r="H24" s="3"/>
      <c r="I24" s="3"/>
      <c r="J24" s="8"/>
      <c r="L24" s="7"/>
      <c r="M24" s="4"/>
      <c r="N24" s="4"/>
      <c r="O24" s="4"/>
      <c r="P24" s="4"/>
      <c r="Q24" s="4"/>
    </row>
    <row r="25" spans="1:17" x14ac:dyDescent="0.2">
      <c r="A25" s="10"/>
      <c r="B25" s="3"/>
      <c r="C25" s="7"/>
      <c r="D25" s="3"/>
      <c r="E25" s="5"/>
      <c r="F25" s="7"/>
      <c r="G25" s="3"/>
      <c r="H25" s="3"/>
      <c r="I25" s="3"/>
      <c r="J25" s="8"/>
      <c r="L25" s="7"/>
      <c r="M25" s="4"/>
      <c r="N25" s="4"/>
      <c r="O25" s="4"/>
      <c r="P25" s="4"/>
      <c r="Q25" s="4"/>
    </row>
    <row r="26" spans="1:17" x14ac:dyDescent="0.2">
      <c r="A26" s="10"/>
      <c r="B26" s="3"/>
      <c r="C26" s="7"/>
      <c r="D26" s="3"/>
      <c r="E26" s="5"/>
      <c r="F26" s="7"/>
      <c r="G26" s="3"/>
      <c r="H26" s="3"/>
      <c r="I26" s="3"/>
      <c r="J26" s="8"/>
      <c r="L26" s="7"/>
      <c r="M26" s="4"/>
      <c r="N26" s="4"/>
      <c r="O26" s="4"/>
      <c r="P26" s="4"/>
      <c r="Q26" s="4"/>
    </row>
    <row r="27" spans="1:17" x14ac:dyDescent="0.2">
      <c r="A27" s="10"/>
      <c r="B27" s="3"/>
      <c r="C27" s="7"/>
      <c r="D27" s="3"/>
      <c r="E27" s="5"/>
      <c r="F27" s="7"/>
      <c r="G27" s="3"/>
      <c r="H27" s="3"/>
      <c r="I27" s="3"/>
      <c r="J27" s="8"/>
      <c r="L27" s="7"/>
      <c r="M27" s="4"/>
      <c r="N27" s="4"/>
      <c r="O27" s="4"/>
      <c r="P27" s="4"/>
      <c r="Q27" s="4"/>
    </row>
    <row r="28" spans="1:17" x14ac:dyDescent="0.2">
      <c r="A28" s="10"/>
      <c r="B28" s="3"/>
      <c r="C28" s="7"/>
      <c r="D28" s="3"/>
      <c r="E28" s="5"/>
      <c r="F28" s="7"/>
      <c r="G28" s="3"/>
      <c r="H28" s="3"/>
      <c r="I28" s="3"/>
      <c r="J28" s="8"/>
      <c r="L28" s="7"/>
      <c r="M28" s="4"/>
      <c r="N28" s="4"/>
      <c r="O28" s="4"/>
      <c r="P28" s="4"/>
      <c r="Q28" s="4"/>
    </row>
    <row r="31" spans="1:17" x14ac:dyDescent="0.2">
      <c r="G31" s="6"/>
    </row>
  </sheetData>
  <mergeCells count="1">
    <mergeCell ref="L4:Q4"/>
  </mergeCells>
  <dataValidations count="2">
    <dataValidation type="list" allowBlank="1" showInputMessage="1" showErrorMessage="1" sqref="H29:H96" xr:uid="{E5D8CAC8-DA84-4DDC-806F-C9B540C58E55}">
      <formula1>"Monthly, Quarterly, Annual"</formula1>
    </dataValidation>
    <dataValidation type="list" allowBlank="1" showInputMessage="1" showErrorMessage="1" sqref="H6:H28" xr:uid="{C81E3C60-A9C1-4B9E-8EC5-712AAA2A9EE4}">
      <formula1>"Monthly, Quarterly, Annually"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24997-7EFA-4A14-A445-14781CC33FC8}">
  <sheetPr codeName="Sheet3"/>
  <dimension ref="A1:G30"/>
  <sheetViews>
    <sheetView tabSelected="1" workbookViewId="0">
      <selection activeCell="B6" sqref="B6:G10"/>
    </sheetView>
  </sheetViews>
  <sheetFormatPr defaultColWidth="8.875" defaultRowHeight="14.25" x14ac:dyDescent="0.2"/>
  <cols>
    <col min="1" max="1" width="27.625" customWidth="1"/>
    <col min="2" max="2" width="9.375" bestFit="1" customWidth="1"/>
    <col min="3" max="7" width="10.125" bestFit="1" customWidth="1"/>
  </cols>
  <sheetData>
    <row r="1" spans="1:7" ht="26.25" x14ac:dyDescent="0.2">
      <c r="A1" s="24" t="s">
        <v>39</v>
      </c>
      <c r="B1" s="23"/>
    </row>
    <row r="2" spans="1:7" x14ac:dyDescent="0.2">
      <c r="A2" s="13"/>
      <c r="B2" s="13"/>
    </row>
    <row r="3" spans="1:7" ht="15" x14ac:dyDescent="0.25">
      <c r="A3" s="13"/>
      <c r="B3" s="22">
        <v>41904</v>
      </c>
      <c r="C3" s="21">
        <v>42071</v>
      </c>
      <c r="D3" s="21">
        <v>42270</v>
      </c>
      <c r="E3" s="21">
        <v>42405</v>
      </c>
      <c r="F3" s="21">
        <v>42566</v>
      </c>
      <c r="G3" s="21">
        <v>42575</v>
      </c>
    </row>
    <row r="4" spans="1:7" x14ac:dyDescent="0.2">
      <c r="A4" s="13"/>
      <c r="B4" s="13"/>
    </row>
    <row r="5" spans="1:7" x14ac:dyDescent="0.2">
      <c r="A5" s="13" t="s">
        <v>38</v>
      </c>
      <c r="B5" s="13"/>
    </row>
    <row r="6" spans="1:7" x14ac:dyDescent="0.2">
      <c r="A6" s="13" t="s">
        <v>37</v>
      </c>
      <c r="B6" s="13">
        <v>1</v>
      </c>
      <c r="C6" s="13">
        <v>1</v>
      </c>
      <c r="D6" s="13">
        <v>1</v>
      </c>
      <c r="E6" s="13">
        <v>1</v>
      </c>
      <c r="F6" s="13">
        <v>1</v>
      </c>
      <c r="G6" s="13">
        <v>1</v>
      </c>
    </row>
    <row r="7" spans="1:7" x14ac:dyDescent="0.2">
      <c r="A7" s="13" t="s">
        <v>36</v>
      </c>
      <c r="B7" s="20">
        <v>0.698419505661107</v>
      </c>
      <c r="C7" s="20">
        <v>0.54175053756397884</v>
      </c>
      <c r="D7" s="20">
        <v>0.54175053756397884</v>
      </c>
      <c r="E7" s="20">
        <v>0.481404993</v>
      </c>
      <c r="F7" s="20">
        <v>0.481404993</v>
      </c>
      <c r="G7" s="20">
        <v>0.481404993</v>
      </c>
    </row>
    <row r="8" spans="1:7" x14ac:dyDescent="0.2">
      <c r="A8" s="13" t="s">
        <v>35</v>
      </c>
      <c r="B8" s="19">
        <v>2.0299999999999999E-2</v>
      </c>
      <c r="C8" s="19">
        <v>1.8249999999999999E-2</v>
      </c>
      <c r="D8" s="19">
        <v>1.66E-2</v>
      </c>
      <c r="E8" s="19">
        <v>1.4150000000000001E-2</v>
      </c>
      <c r="F8" s="19">
        <v>1.2849999999999999E-2</v>
      </c>
      <c r="G8" s="19">
        <v>1.2799999999999999E-2</v>
      </c>
    </row>
    <row r="9" spans="1:7" x14ac:dyDescent="0.2">
      <c r="A9" s="13" t="s">
        <v>34</v>
      </c>
      <c r="B9" s="16">
        <v>0.88</v>
      </c>
      <c r="C9" s="16">
        <v>0.88</v>
      </c>
      <c r="D9" s="16">
        <v>2.863</v>
      </c>
      <c r="E9" s="16">
        <v>2.863</v>
      </c>
      <c r="F9" s="16">
        <v>0.48899999999999999</v>
      </c>
      <c r="G9" s="16">
        <v>0.48899999999999999</v>
      </c>
    </row>
    <row r="10" spans="1:7" x14ac:dyDescent="0.2">
      <c r="A10" s="13" t="s">
        <v>33</v>
      </c>
      <c r="B10" s="18">
        <v>6.25</v>
      </c>
      <c r="C10" s="18">
        <v>6.25</v>
      </c>
      <c r="D10" s="18">
        <v>6.25</v>
      </c>
      <c r="E10" s="18">
        <v>6.25</v>
      </c>
      <c r="F10" s="18">
        <v>6.25</v>
      </c>
      <c r="G10" s="18">
        <v>6.25</v>
      </c>
    </row>
    <row r="11" spans="1:7" x14ac:dyDescent="0.2">
      <c r="A11" s="13"/>
      <c r="B11" s="12"/>
      <c r="C11" s="12"/>
      <c r="D11" s="12"/>
      <c r="E11" s="12"/>
      <c r="F11" s="12"/>
      <c r="G11" s="12"/>
    </row>
    <row r="12" spans="1:7" x14ac:dyDescent="0.2">
      <c r="A12" s="13" t="s">
        <v>32</v>
      </c>
      <c r="B12" s="12"/>
      <c r="C12" s="12"/>
      <c r="D12" s="12"/>
      <c r="E12" s="12"/>
      <c r="F12" s="12"/>
      <c r="G12" s="12"/>
    </row>
    <row r="13" spans="1:7" ht="15" thickBot="1" x14ac:dyDescent="0.25">
      <c r="A13" s="14" t="s">
        <v>31</v>
      </c>
      <c r="B13" s="17">
        <v>0.88</v>
      </c>
      <c r="C13" s="17">
        <v>0.88</v>
      </c>
      <c r="D13" s="17">
        <f>D9</f>
        <v>2.863</v>
      </c>
      <c r="E13" s="16">
        <v>0.48899999999999999</v>
      </c>
      <c r="F13" s="16">
        <v>0.48899999999999999</v>
      </c>
      <c r="G13" s="16">
        <v>0.48899999999999999</v>
      </c>
    </row>
    <row r="14" spans="1:7" ht="15" thickBot="1" x14ac:dyDescent="0.25">
      <c r="A14" s="13" t="s">
        <v>30</v>
      </c>
      <c r="B14" s="15">
        <f>IF(B6=1,B22,B30)</f>
        <v>0.5643674637226892</v>
      </c>
      <c r="C14" s="15">
        <f>IF(B6=1,C22,C30)</f>
        <v>0.46640803051796897</v>
      </c>
      <c r="D14" s="15">
        <f>IF(B6=1,D22,D30)</f>
        <v>1.5101259596126386</v>
      </c>
      <c r="E14" s="15">
        <f>IF(B6=1,E22,E30)</f>
        <v>4.4475759431576938E-2</v>
      </c>
      <c r="F14" s="15">
        <f>IF(B6=1,F22,F30)</f>
        <v>0.23209887439925828</v>
      </c>
      <c r="G14" s="15">
        <f>IF(B6=1,G22,G30)</f>
        <v>0.23205708775919387</v>
      </c>
    </row>
    <row r="15" spans="1:7" x14ac:dyDescent="0.2">
      <c r="A15" s="14"/>
      <c r="B15" s="12"/>
      <c r="C15" s="12"/>
      <c r="D15" s="12"/>
      <c r="E15" s="12"/>
      <c r="F15" s="12"/>
      <c r="G15" s="12"/>
    </row>
    <row r="16" spans="1:7" x14ac:dyDescent="0.2">
      <c r="A16" s="13"/>
      <c r="B16" s="12"/>
      <c r="C16" s="12"/>
      <c r="D16" s="12"/>
      <c r="E16" s="12"/>
      <c r="F16" s="12"/>
      <c r="G16" s="12"/>
    </row>
    <row r="17" spans="1:7" x14ac:dyDescent="0.2">
      <c r="A17" s="25" t="s">
        <v>40</v>
      </c>
      <c r="B17" s="12"/>
      <c r="C17" s="12"/>
      <c r="D17" s="12"/>
      <c r="E17" s="12"/>
      <c r="F17" s="12"/>
      <c r="G17" s="12"/>
    </row>
    <row r="18" spans="1:7" x14ac:dyDescent="0.2">
      <c r="A18" s="13" t="s">
        <v>29</v>
      </c>
      <c r="B18" s="12">
        <f t="shared" ref="B18:G18" si="0">(LN(B13/B9)+(B8+B7^2/2)*B10)/(B7*SQRT(B10))</f>
        <v>0.94568844656576434</v>
      </c>
      <c r="C18" s="12">
        <f t="shared" si="0"/>
        <v>0.76140590103219097</v>
      </c>
      <c r="D18" s="12">
        <f t="shared" si="0"/>
        <v>0.75379169538959323</v>
      </c>
      <c r="E18" s="12">
        <f t="shared" si="0"/>
        <v>-0.79318177562531977</v>
      </c>
      <c r="F18" s="12">
        <f t="shared" si="0"/>
        <v>0.66848799614893606</v>
      </c>
      <c r="G18" s="12">
        <f t="shared" si="0"/>
        <v>0.66822833951508798</v>
      </c>
    </row>
    <row r="19" spans="1:7" x14ac:dyDescent="0.2">
      <c r="A19" s="13" t="s">
        <v>28</v>
      </c>
      <c r="B19" s="12">
        <f t="shared" ref="B19:G19" si="1">B18-B7*SQRT(B10)</f>
        <v>-0.80036031758700321</v>
      </c>
      <c r="C19" s="12">
        <f t="shared" si="1"/>
        <v>-0.59297044287775602</v>
      </c>
      <c r="D19" s="12">
        <f t="shared" si="1"/>
        <v>-0.60058464852035376</v>
      </c>
      <c r="E19" s="12">
        <f t="shared" si="1"/>
        <v>-1.99669425812532</v>
      </c>
      <c r="F19" s="12">
        <f t="shared" si="1"/>
        <v>-0.53502448635106403</v>
      </c>
      <c r="G19" s="12">
        <f t="shared" si="1"/>
        <v>-0.53528414298491211</v>
      </c>
    </row>
    <row r="20" spans="1:7" x14ac:dyDescent="0.2">
      <c r="A20" s="13" t="s">
        <v>27</v>
      </c>
      <c r="B20" s="12">
        <f t="shared" ref="B20:G21" si="2">NORMSDIST(B18)</f>
        <v>0.82784624148848684</v>
      </c>
      <c r="C20" s="12">
        <f t="shared" si="2"/>
        <v>0.77679266804714309</v>
      </c>
      <c r="D20" s="12">
        <f t="shared" si="2"/>
        <v>0.77451284430439415</v>
      </c>
      <c r="E20" s="12">
        <f t="shared" si="2"/>
        <v>0.21383596192459048</v>
      </c>
      <c r="F20" s="12">
        <f t="shared" si="2"/>
        <v>0.74808892911644687</v>
      </c>
      <c r="G20" s="12">
        <f t="shared" si="2"/>
        <v>0.74800607592498092</v>
      </c>
    </row>
    <row r="21" spans="1:7" x14ac:dyDescent="0.2">
      <c r="A21" s="13" t="s">
        <v>26</v>
      </c>
      <c r="B21" s="12">
        <f t="shared" si="2"/>
        <v>0.21175103266706161</v>
      </c>
      <c r="C21" s="12">
        <f t="shared" si="2"/>
        <v>0.27660046658578719</v>
      </c>
      <c r="D21" s="12">
        <f t="shared" si="2"/>
        <v>0.27405833265638752</v>
      </c>
      <c r="E21" s="12">
        <f t="shared" si="2"/>
        <v>2.2929203132249366E-2</v>
      </c>
      <c r="F21" s="12">
        <f t="shared" si="2"/>
        <v>0.29631646264118122</v>
      </c>
      <c r="G21" s="12">
        <f t="shared" si="2"/>
        <v>0.29622669482526542</v>
      </c>
    </row>
    <row r="22" spans="1:7" x14ac:dyDescent="0.2">
      <c r="A22" s="13" t="s">
        <v>25</v>
      </c>
      <c r="B22" s="12">
        <f t="shared" ref="B22:G22" si="3">B13*B20-B9*EXP(-B8*B10)*B21</f>
        <v>0.5643674637226892</v>
      </c>
      <c r="C22" s="12">
        <f t="shared" si="3"/>
        <v>0.46640803051796897</v>
      </c>
      <c r="D22" s="12">
        <f t="shared" si="3"/>
        <v>1.5101259596126386</v>
      </c>
      <c r="E22" s="12">
        <f t="shared" si="3"/>
        <v>4.4475759431576938E-2</v>
      </c>
      <c r="F22" s="12">
        <f t="shared" si="3"/>
        <v>0.23209887439925828</v>
      </c>
      <c r="G22" s="12">
        <f t="shared" si="3"/>
        <v>0.23205708775919387</v>
      </c>
    </row>
    <row r="23" spans="1:7" x14ac:dyDescent="0.2">
      <c r="A23" s="13"/>
      <c r="B23" s="12"/>
      <c r="C23" s="12"/>
      <c r="D23" s="12"/>
      <c r="E23" s="12"/>
      <c r="F23" s="12"/>
      <c r="G23" s="12"/>
    </row>
    <row r="24" spans="1:7" x14ac:dyDescent="0.2">
      <c r="A24" s="13"/>
      <c r="B24" s="12"/>
      <c r="C24" s="12"/>
      <c r="D24" s="12"/>
      <c r="E24" s="12"/>
      <c r="F24" s="12"/>
      <c r="G24" s="12"/>
    </row>
    <row r="25" spans="1:7" x14ac:dyDescent="0.2">
      <c r="A25" s="25" t="s">
        <v>41</v>
      </c>
      <c r="B25" s="12"/>
      <c r="C25" s="12"/>
      <c r="D25" s="12"/>
      <c r="E25" s="12"/>
      <c r="F25" s="12"/>
      <c r="G25" s="12"/>
    </row>
    <row r="26" spans="1:7" x14ac:dyDescent="0.2">
      <c r="A26" s="13" t="s">
        <v>24</v>
      </c>
      <c r="B26" s="12">
        <f t="shared" ref="B26:G27" si="4">-B18</f>
        <v>-0.94568844656576434</v>
      </c>
      <c r="C26" s="12">
        <f t="shared" si="4"/>
        <v>-0.76140590103219097</v>
      </c>
      <c r="D26" s="12">
        <f t="shared" si="4"/>
        <v>-0.75379169538959323</v>
      </c>
      <c r="E26" s="12">
        <f t="shared" si="4"/>
        <v>0.79318177562531977</v>
      </c>
      <c r="F26" s="12">
        <f t="shared" si="4"/>
        <v>-0.66848799614893606</v>
      </c>
      <c r="G26" s="12">
        <f t="shared" si="4"/>
        <v>-0.66822833951508798</v>
      </c>
    </row>
    <row r="27" spans="1:7" x14ac:dyDescent="0.2">
      <c r="A27" s="13" t="s">
        <v>23</v>
      </c>
      <c r="B27" s="12">
        <f t="shared" si="4"/>
        <v>0.80036031758700321</v>
      </c>
      <c r="C27" s="12">
        <f t="shared" si="4"/>
        <v>0.59297044287775602</v>
      </c>
      <c r="D27" s="12">
        <f t="shared" si="4"/>
        <v>0.60058464852035376</v>
      </c>
      <c r="E27" s="12">
        <f t="shared" si="4"/>
        <v>1.99669425812532</v>
      </c>
      <c r="F27" s="12">
        <f t="shared" si="4"/>
        <v>0.53502448635106403</v>
      </c>
      <c r="G27" s="12">
        <f t="shared" si="4"/>
        <v>0.53528414298491211</v>
      </c>
    </row>
    <row r="28" spans="1:7" x14ac:dyDescent="0.2">
      <c r="A28" s="13" t="s">
        <v>22</v>
      </c>
      <c r="B28" s="12">
        <f t="shared" ref="B28:G29" si="5">NORMSDIST(B26)</f>
        <v>0.17215375851151313</v>
      </c>
      <c r="C28" s="12">
        <f t="shared" si="5"/>
        <v>0.22320733195285689</v>
      </c>
      <c r="D28" s="12">
        <f t="shared" si="5"/>
        <v>0.22548715569560587</v>
      </c>
      <c r="E28" s="12">
        <f t="shared" si="5"/>
        <v>0.78616403807540958</v>
      </c>
      <c r="F28" s="12">
        <f t="shared" si="5"/>
        <v>0.25191107088355313</v>
      </c>
      <c r="G28" s="12">
        <f t="shared" si="5"/>
        <v>0.25199392407501908</v>
      </c>
    </row>
    <row r="29" spans="1:7" x14ac:dyDescent="0.2">
      <c r="A29" s="13" t="s">
        <v>21</v>
      </c>
      <c r="B29" s="12">
        <f t="shared" si="5"/>
        <v>0.78824896733293837</v>
      </c>
      <c r="C29" s="12">
        <f t="shared" si="5"/>
        <v>0.72339953341421281</v>
      </c>
      <c r="D29" s="12">
        <f t="shared" si="5"/>
        <v>0.72594166734361254</v>
      </c>
      <c r="E29" s="12">
        <f t="shared" si="5"/>
        <v>0.97707079686775067</v>
      </c>
      <c r="F29" s="12">
        <f t="shared" si="5"/>
        <v>0.70368353735881883</v>
      </c>
      <c r="G29" s="12">
        <f t="shared" si="5"/>
        <v>0.70377330517473458</v>
      </c>
    </row>
    <row r="30" spans="1:7" x14ac:dyDescent="0.2">
      <c r="A30" s="13" t="s">
        <v>20</v>
      </c>
      <c r="B30" s="12">
        <f t="shared" ref="B30:G30" si="6">-B13*B28+B9*EXP(-B8*B10)*B29</f>
        <v>0.45950998236746932</v>
      </c>
      <c r="C30" s="12">
        <f t="shared" si="6"/>
        <v>0.37154595904045118</v>
      </c>
      <c r="D30" s="12">
        <f t="shared" si="6"/>
        <v>1.2279791187743974</v>
      </c>
      <c r="E30" s="12">
        <f t="shared" si="6"/>
        <v>2.1761523526374109</v>
      </c>
      <c r="F30" s="12">
        <f t="shared" si="6"/>
        <v>0.19436172610455094</v>
      </c>
      <c r="G30" s="12">
        <f t="shared" si="6"/>
        <v>0.19446098114225874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</vt:lpstr>
      <vt:lpstr>B&amp;S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Tzvika Gross</dc:creator>
  <cp:lastModifiedBy>Tzvika Gross</cp:lastModifiedBy>
  <dcterms:created xsi:type="dcterms:W3CDTF">2023-03-05T19:04:56Z</dcterms:created>
  <dcterms:modified xsi:type="dcterms:W3CDTF">2023-03-09T08:40:04Z</dcterms:modified>
</cp:coreProperties>
</file>