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P:\Tzvika group\שכר טרחה\"/>
    </mc:Choice>
  </mc:AlternateContent>
  <xr:revisionPtr revIDLastSave="0" documentId="13_ncr:1_{E317AE6C-8054-4847-8F28-B4F20C428773}" xr6:coauthVersionLast="47" xr6:coauthVersionMax="47" xr10:uidLastSave="{00000000-0000-0000-0000-000000000000}"/>
  <bookViews>
    <workbookView xWindow="-120" yWindow="-120" windowWidth="29040" windowHeight="15840" xr2:uid="{60DF591B-2F7F-4B5E-A5BF-65B526F288EF}"/>
  </bookViews>
  <sheets>
    <sheet name="GENERATE" sheetId="2" r:id="rId1"/>
    <sheet name="MAP" sheetId="3" r:id="rId2"/>
  </sheets>
  <functionGroups builtInGroupCount="19"/>
  <definedNames>
    <definedName name="BillDate">GENERATE!$E$7</definedName>
    <definedName name="Customers">#REF!</definedName>
    <definedName name="EUR">GENERATE!$E$11</definedName>
    <definedName name="FileName">GENERATE!$E$14</definedName>
    <definedName name="FolderName">GENERATE!$E$18</definedName>
    <definedName name="FromLine">GENERATE!$E$3</definedName>
    <definedName name="Locations">#REF!</definedName>
    <definedName name="Projects">#REF!</definedName>
    <definedName name="SourceSheet">GENERATE!$E$16</definedName>
    <definedName name="TimeID">GENERATE!#REF!</definedName>
    <definedName name="ToLine">GENERATE!$E$5</definedName>
    <definedName name="USD">GENERATE!$E$9</definedName>
    <definedName name="Worker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2" l="1"/>
  <c r="E11" i="2" l="1" a="1"/>
  <c r="E11" i="2" s="1"/>
  <c r="E9" i="2" l="1" a="1"/>
  <c r="E9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<sst xmlns="http://schemas.openxmlformats.org/spreadsheetml/2006/main" count="9" uniqueCount="9">
  <si>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USD</t>
  </si>
  <si>
    <t>EUR</t>
  </si>
  <si>
    <t>בס"ד</t>
  </si>
  <si>
    <t>משורה</t>
  </si>
  <si>
    <t>עד שורה</t>
  </si>
  <si>
    <t>תאריך החשבון</t>
  </si>
  <si>
    <t>תיקייה לקבצים</t>
  </si>
  <si>
    <t>קובץ מקור</t>
  </si>
  <si>
    <t>גליון מקור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</si>
</sst>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&quot;$&quot;* #,##0.00_);_(&quot;$&quot;* \(#,##0.00\);_(&quot;$&quot;* &quot;-&quot;??_);_(@_)"/>
    <numFmt numFmtId="166" formatCode="yyyy\-mm\-dd;@"/>
    <numFmt numFmtId="167" formatCode="0.0000"/>
  </numFmts>
  <fonts count="9">
    <font>
      <sz val="11"/>
      <color theme="1"/>
      <name val="Arial"/>
      <family val="2"/>
      <charset val="177"/>
      <scheme val="minor"/>
    </font>
    <font>
      <sz val="11"/>
      <color theme="1"/>
      <name val="Arial"/>
      <family val="2"/>
      <charset val="177"/>
      <scheme val="minor"/>
    </font>
    <font>
      <sz val="11"/>
      <color rgb="FF006100"/>
      <name val="Arial"/>
      <family val="2"/>
      <charset val="177"/>
      <scheme val="minor"/>
    </font>
    <font>
      <sz val="12"/>
      <color theme="1"/>
      <name val="david"/>
      <family val="2"/>
      <charset val="177"/>
    </font>
    <font>
      <u/>
      <sz val="12"/>
      <color theme="10"/>
      <name val="david"/>
      <family val="2"/>
      <charset val="177"/>
    </font>
    <font>
      <sz val="10"/>
      <color indexed="8"/>
      <name val="MS Sans Serif"/>
      <charset val="177"/>
    </font>
    <font>
      <sz val="10"/>
      <color indexed="8"/>
      <name val="MS Sans Serif"/>
      <family val="2"/>
      <charset val="177"/>
    </font>
    <font>
      <sz val="11"/>
      <color rgb="FF9C6500"/>
      <name val="Arial"/>
      <family val="2"/>
      <charset val="177"/>
      <scheme val="minor"/>
    </font>
    <font>
      <b/>
      <sz val="11"/>
      <color theme="1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C6EFCE"/>
        <bgColor indexed="64"/>
      </patternFill>
    </fill>
    <fill>
      <patternFill patternType="solid">
        <fgColor theme="6" tint="0.79985961485641044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4">
    <xf numFmtId="0" fontId="0" fillId="0" borderId="0"/>
    <xf numFmtId="0" fontId="3" fillId="0" borderId="0"/>
    <xf numFmtId="164" fontId="3" fillId="0" borderId="0" applyFont="0" applyFill="0" applyBorder="0" applyAlignment="0" applyProtection="0"/>
    <xf numFmtId="0" fontId="1" fillId="3" borderId="0" applyNumberFormat="0" applyBorder="0" applyAlignment="0" applyProtection="0"/>
    <xf numFmtId="165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2" fillId="4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9" fontId="3" fillId="0" borderId="0" applyFont="0" applyFill="0" applyBorder="0" applyAlignment="0" applyProtection="0"/>
    <xf numFmtId="0" fontId="1" fillId="5" borderId="0" applyNumberFormat="0" applyBorder="0" applyAlignment="0" applyProtection="0"/>
    <xf numFmtId="0" fontId="5" fillId="0" borderId="0"/>
    <xf numFmtId="0" fontId="6" fillId="0" borderId="0"/>
    <xf numFmtId="0" fontId="7" fillId="2" borderId="0" applyNumberFormat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0" fillId="0" borderId="0" xfId="0" applyAlignment="1">
      <alignment wrapText="1"/>
    </xf>
    <xf numFmtId="166" fontId="0" fillId="0" borderId="1" xfId="0" applyNumberFormat="1" applyBorder="1"/>
    <xf numFmtId="166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/>
    <xf numFmtId="167" fontId="8" fillId="6" borderId="1" xfId="0" applyNumberFormat="1" applyFont="1" applyFill="1" applyBorder="1"/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</cellXfs>
  <cellStyles count="14">
    <cellStyle name="20% - Accent3 2 3" xfId="7" xr:uid="{F6905C70-768D-4E97-A5E3-BB0069803DA6}"/>
    <cellStyle name="20% - Accent3 2 3 2" xfId="10" xr:uid="{8A61993C-0066-492A-BD9F-2402B03B2ACA}"/>
    <cellStyle name="20% - Accent3 3 3" xfId="3" xr:uid="{A8E82840-967A-4D86-9C81-224D01CFADBF}"/>
    <cellStyle name="Comma 2" xfId="2" xr:uid="{F2885560-34B2-4286-AFA4-5A472780A1E5}"/>
    <cellStyle name="Currency 2" xfId="4" xr:uid="{50B65D6B-6356-4913-9DD0-6DD69FBB8C5C}"/>
    <cellStyle name="Good 2" xfId="6" xr:uid="{4D16EBE9-FC72-40EB-B348-FF79DF3172E7}"/>
    <cellStyle name="Hyperlink 2" xfId="5" xr:uid="{AC0810ED-DE1B-4369-B2C4-55AD7EB462B9}"/>
    <cellStyle name="Neutral 2" xfId="13" xr:uid="{E53FE9BB-9771-4F82-A3F6-034797C8E9CC}"/>
    <cellStyle name="Normal" xfId="0" builtinId="0"/>
    <cellStyle name="Normal 2 2" xfId="1" xr:uid="{26BFE9ED-7C55-4CFF-8282-7DD99AEEEE45}"/>
    <cellStyle name="Normal 2 2 2" xfId="11" xr:uid="{F98A9B83-710E-4D92-B9D9-7A633E07DF9C}"/>
    <cellStyle name="Normal 2 2 2 3" xfId="12" xr:uid="{681F7C35-BD73-49D2-B0E1-B6BEBC323DA3}"/>
    <cellStyle name="Normal 3 3 3" xfId="8" xr:uid="{A7BAFD33-F9D0-471E-99A9-44C0630C4A8C}"/>
    <cellStyle name="Percent 2" xfId="9" xr:uid="{9FAE1F26-6058-4302-9359-27371596476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21</xdr:row>
          <xdr:rowOff>114300</xdr:rowOff>
        </xdr:from>
        <xdr:to>
          <xdr:col>4</xdr:col>
          <xdr:colOff>323850</xdr:colOff>
          <xdr:row>24</xdr:row>
          <xdr:rowOff>152400</xdr:rowOff>
        </xdr:to>
        <xdr:sp macro="" textlink="">
          <xdr:nvSpPr>
            <xdr:cNvPr id="2050" name="btnGenerateBill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1</xdr:row>
          <xdr:rowOff>142875</xdr:rowOff>
        </xdr:from>
        <xdr:to>
          <xdr:col>15</xdr:col>
          <xdr:colOff>381000</xdr:colOff>
          <xdr:row>12</xdr:row>
          <xdr:rowOff>9525</xdr:rowOff>
        </xdr:to>
        <xdr:sp macro="" textlink="">
          <xdr:nvSpPr>
            <xdr:cNvPr id="2052" name="txtJSO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695325</xdr:colOff>
          <xdr:row>21</xdr:row>
          <xdr:rowOff>114300</xdr:rowOff>
        </xdr:from>
        <xdr:to>
          <xdr:col>6</xdr:col>
          <xdr:colOff>257175</xdr:colOff>
          <xdr:row>24</xdr:row>
          <xdr:rowOff>142875</xdr:rowOff>
        </xdr:to>
        <xdr:sp macro="" textlink="">
          <xdr:nvSpPr>
            <xdr:cNvPr id="2053" name="btnRunSP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180975</xdr:colOff>
          <xdr:row>21</xdr:row>
          <xdr:rowOff>114300</xdr:rowOff>
        </xdr:from>
        <xdr:to>
          <xdr:col>12</xdr:col>
          <xdr:colOff>323850</xdr:colOff>
          <xdr:row>24</xdr:row>
          <xdr:rowOff>142875</xdr:rowOff>
        </xdr:to>
        <xdr:sp macro="" textlink="">
          <xdr:nvSpPr>
            <xdr:cNvPr id="2054" name="btnSendEmail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21</xdr:row>
          <xdr:rowOff>114300</xdr:rowOff>
        </xdr:from>
        <xdr:to>
          <xdr:col>9</xdr:col>
          <xdr:colOff>323850</xdr:colOff>
          <xdr:row>24</xdr:row>
          <xdr:rowOff>142875</xdr:rowOff>
        </xdr:to>
        <xdr:sp macro="" textlink="">
          <xdr:nvSpPr>
            <xdr:cNvPr id="2055" name="btnCreatePDF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17</xdr:row>
          <xdr:rowOff>19050</xdr:rowOff>
        </xdr:from>
        <xdr:to>
          <xdr:col>13</xdr:col>
          <xdr:colOff>647700</xdr:colOff>
          <xdr:row>18</xdr:row>
          <xdr:rowOff>114300</xdr:rowOff>
        </xdr:to>
        <xdr:sp macro="" textlink="">
          <xdr:nvSpPr>
            <xdr:cNvPr id="2056" name="btnGetFolder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19050</xdr:rowOff>
        </xdr:from>
        <xdr:to>
          <xdr:col>13</xdr:col>
          <xdr:colOff>628650</xdr:colOff>
          <xdr:row>14</xdr:row>
          <xdr:rowOff>104775</xdr:rowOff>
        </xdr:to>
        <xdr:sp macro="" textlink="">
          <xdr:nvSpPr>
            <xdr:cNvPr id="2062" name="btnGetFileNam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91893-EB3A-4460-93C5-9B134C57247D}">
  <sheetPr codeName="Sheet2"/>
  <dimension ref="A1:O26"/>
  <sheetViews>
    <sheetView rightToLeft="1" tabSelected="1" topLeftCell="B1" zoomScaleNormal="100" workbookViewId="0">
      <selection activeCell="R18" sqref="R18"/>
    </sheetView>
  </sheetViews>
  <sheetFormatPr defaultRowHeight="14.25"/>
  <cols>
    <col min="5" max="5" width="16.625" customWidth="1"/>
  </cols>
  <sheetData>
    <row r="1" spans="1:12">
      <c r="A1" t="s">
        <v>2</v>
      </c>
    </row>
    <row r="2" spans="1:12" ht="15" thickBot="1"/>
    <row r="3" spans="1:12" ht="15" thickBot="1">
      <c r="C3" t="s">
        <v>3</v>
      </c>
      <c r="E3" s="1">
        <v>0</v>
      </c>
      <c r="J3" s="2"/>
    </row>
    <row r="4" spans="1:12" ht="15" thickBot="1"/>
    <row r="5" spans="1:12" ht="15" thickBot="1">
      <c r="C5" t="s">
        <v>4</v>
      </c>
      <c r="E5" s="1">
        <v>0</v>
      </c>
    </row>
    <row r="6" spans="1:12" ht="15" thickBot="1"/>
    <row r="7" spans="1:12" ht="15" thickBot="1">
      <c r="C7" t="s">
        <v>5</v>
      </c>
      <c r="E7" s="3">
        <f ca="1">TODAY()-DAY(TODAY())</f>
        <v>45961</v>
      </c>
    </row>
    <row r="8" spans="1:12" ht="15" thickBot="1">
      <c r="C8" s="5"/>
      <c r="E8" s="4"/>
    </row>
    <row r="9" spans="1:12" ht="15.75" thickBot="1">
      <c r="C9" s="5" t="s">
        <v>0</v>
      </c>
      <c r="E9" s="7" cm="1">
        <f t="array" aca="1" ref="E9" ca="1">_xlfn.FILTERXML(_xlfn.WEBSERVICE("https://edge.boi.gov.il/FusionEdgeServer/sdmx/v2/data/dataflow/BOI.STATISTICS/EXR/1.0/RER_USD_ILS?startperiod=" &amp; TEXT(BillDate,"yyyy-mm-dd") &amp; "&amp;endperiod=" &amp; TEXT(BillDate,"yyyy-mm-dd") ),"//Obs/@OBS_VALUE")</f>
        <v>3.2429999999999999</v>
      </c>
    </row>
    <row r="10" spans="1:12" ht="15" thickBot="1">
      <c r="C10" s="5"/>
      <c r="E10" s="4"/>
    </row>
    <row r="11" spans="1:12" ht="15.75" thickBot="1">
      <c r="C11" s="5" t="s">
        <v>1</v>
      </c>
      <c r="E11" s="7" cm="1">
        <f t="array" aca="1" ref="E11" ca="1">_xlfn.FILTERXML(_xlfn.WEBSERVICE("https://edge.boi.gov.il/FusionEdgeServer/sdmx/v2/data/dataflow/BOI.STATISTICS/EXR/1.0/RER_EUR_ILS?startperiod=" &amp; TEXT(BillDate,"yyyy-mm-dd") &amp; "&amp;endperiod=" &amp; TEXT(BillDate,"yyyy-mm-dd") ),"//Obs/@OBS_VALUE")</f>
        <v>3.7519</v>
      </c>
    </row>
    <row r="13" spans="1:12" ht="15" thickBot="1"/>
    <row r="14" spans="1:12" ht="15" thickBot="1">
      <c r="C14" t="s">
        <v>7</v>
      </c>
      <c r="E14" s="8" t="b">
        <v>0</v>
      </c>
      <c r="F14" s="9"/>
      <c r="G14" s="9"/>
      <c r="H14" s="9"/>
      <c r="I14" s="9"/>
      <c r="J14" s="9"/>
      <c r="K14" s="9"/>
      <c r="L14" s="10"/>
    </row>
    <row r="15" spans="1:12" ht="15" thickBot="1"/>
    <row r="16" spans="1:12" ht="15" thickBot="1">
      <c r="C16" t="s">
        <v>8</v>
      </c>
      <c r="E16" s="1"/>
    </row>
    <row r="17" spans="3:15" ht="15" thickBot="1"/>
    <row r="18" spans="3:15" ht="15" thickBot="1">
      <c r="C18" t="s">
        <v>6</v>
      </c>
      <c r="E18" s="8"/>
      <c r="F18" s="9"/>
      <c r="G18" s="9"/>
      <c r="H18" s="9"/>
      <c r="I18" s="9"/>
      <c r="J18" s="9"/>
      <c r="K18" s="9"/>
      <c r="L18" s="10"/>
    </row>
    <row r="26" spans="3:15">
      <c r="O26" s="6"/>
    </row>
  </sheetData>
  <mergeCells count="2">
    <mergeCell ref="E18:L18"/>
    <mergeCell ref="E14:L1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2" r:id="rId4" name="btnGetFileName">
          <controlPr defaultSize="0" autoLine="0" r:id="rId5">
            <anchor moveWithCells="1">
              <from>
                <xdr:col>13</xdr:col>
                <xdr:colOff>0</xdr:colOff>
                <xdr:row>13</xdr:row>
                <xdr:rowOff>19050</xdr:rowOff>
              </from>
              <to>
                <xdr:col>13</xdr:col>
                <xdr:colOff>628650</xdr:colOff>
                <xdr:row>14</xdr:row>
                <xdr:rowOff>104775</xdr:rowOff>
              </to>
            </anchor>
          </controlPr>
        </control>
      </mc:Choice>
      <mc:Fallback>
        <control shapeId="2062" r:id="rId4" name="btnGetFileName"/>
      </mc:Fallback>
    </mc:AlternateContent>
    <mc:AlternateContent xmlns:mc="http://schemas.openxmlformats.org/markup-compatibility/2006">
      <mc:Choice Requires="x14">
        <control shapeId="2052" r:id="rId6" name="txtJSON">
          <controlPr locked="0" defaultSize="0" autoLine="0" r:id="rId7">
            <anchor moveWithCells="1">
              <from>
                <xdr:col>8</xdr:col>
                <xdr:colOff>200025</xdr:colOff>
                <xdr:row>1</xdr:row>
                <xdr:rowOff>142875</xdr:rowOff>
              </from>
              <to>
                <xdr:col>15</xdr:col>
                <xdr:colOff>381000</xdr:colOff>
                <xdr:row>12</xdr:row>
                <xdr:rowOff>9525</xdr:rowOff>
              </to>
            </anchor>
          </controlPr>
        </control>
      </mc:Choice>
      <mc:Fallback>
        <control shapeId="2052" r:id="rId6" name="txtJSON"/>
      </mc:Fallback>
    </mc:AlternateContent>
    <mc:AlternateContent xmlns:mc="http://schemas.openxmlformats.org/markup-compatibility/2006">
      <mc:Choice Requires="x14">
        <control shapeId="2050" r:id="rId8" name="btnGenerateBill">
          <controlPr defaultSize="0" autoLine="0" autoPict="0" r:id="rId9">
            <anchor moveWithCells="1">
              <from>
                <xdr:col>2</xdr:col>
                <xdr:colOff>104775</xdr:colOff>
                <xdr:row>21</xdr:row>
                <xdr:rowOff>114300</xdr:rowOff>
              </from>
              <to>
                <xdr:col>4</xdr:col>
                <xdr:colOff>323850</xdr:colOff>
                <xdr:row>24</xdr:row>
                <xdr:rowOff>152400</xdr:rowOff>
              </to>
            </anchor>
          </controlPr>
        </control>
      </mc:Choice>
      <mc:Fallback>
        <control shapeId="2050" r:id="rId8" name="btnGenerateBill"/>
      </mc:Fallback>
    </mc:AlternateContent>
    <mc:AlternateContent xmlns:mc="http://schemas.openxmlformats.org/markup-compatibility/2006">
      <mc:Choice Requires="x14">
        <control shapeId="2053" r:id="rId10" name="btnRunSP">
          <controlPr defaultSize="0" autoLine="0" r:id="rId11">
            <anchor moveWithCells="1">
              <from>
                <xdr:col>4</xdr:col>
                <xdr:colOff>695325</xdr:colOff>
                <xdr:row>21</xdr:row>
                <xdr:rowOff>114300</xdr:rowOff>
              </from>
              <to>
                <xdr:col>6</xdr:col>
                <xdr:colOff>257175</xdr:colOff>
                <xdr:row>24</xdr:row>
                <xdr:rowOff>142875</xdr:rowOff>
              </to>
            </anchor>
          </controlPr>
        </control>
      </mc:Choice>
      <mc:Fallback>
        <control shapeId="2053" r:id="rId10" name="btnRunSP"/>
      </mc:Fallback>
    </mc:AlternateContent>
    <mc:AlternateContent xmlns:mc="http://schemas.openxmlformats.org/markup-compatibility/2006">
      <mc:Choice Requires="x14">
        <control shapeId="2054" r:id="rId12" name="btnSendEmails">
          <controlPr defaultSize="0" autoLine="0" r:id="rId13">
            <anchor moveWithCells="1">
              <from>
                <xdr:col>10</xdr:col>
                <xdr:colOff>180975</xdr:colOff>
                <xdr:row>21</xdr:row>
                <xdr:rowOff>114300</xdr:rowOff>
              </from>
              <to>
                <xdr:col>12</xdr:col>
                <xdr:colOff>323850</xdr:colOff>
                <xdr:row>24</xdr:row>
                <xdr:rowOff>142875</xdr:rowOff>
              </to>
            </anchor>
          </controlPr>
        </control>
      </mc:Choice>
      <mc:Fallback>
        <control shapeId="2054" r:id="rId12" name="btnSendEmails"/>
      </mc:Fallback>
    </mc:AlternateContent>
    <mc:AlternateContent xmlns:mc="http://schemas.openxmlformats.org/markup-compatibility/2006">
      <mc:Choice Requires="x14">
        <control shapeId="2055" r:id="rId14" name="btnCreatePDF">
          <controlPr defaultSize="0" autoLine="0" r:id="rId15">
            <anchor moveWithCells="1">
              <from>
                <xdr:col>7</xdr:col>
                <xdr:colOff>133350</xdr:colOff>
                <xdr:row>21</xdr:row>
                <xdr:rowOff>114300</xdr:rowOff>
              </from>
              <to>
                <xdr:col>9</xdr:col>
                <xdr:colOff>323850</xdr:colOff>
                <xdr:row>24</xdr:row>
                <xdr:rowOff>142875</xdr:rowOff>
              </to>
            </anchor>
          </controlPr>
        </control>
      </mc:Choice>
      <mc:Fallback>
        <control shapeId="2055" r:id="rId14" name="btnCreatePDF"/>
      </mc:Fallback>
    </mc:AlternateContent>
    <mc:AlternateContent xmlns:mc="http://schemas.openxmlformats.org/markup-compatibility/2006">
      <mc:Choice Requires="x14">
        <control shapeId="2056" r:id="rId16" name="btnGetFolder">
          <controlPr defaultSize="0" autoLine="0" autoPict="0" r:id="rId17">
            <anchor moveWithCells="1">
              <from>
                <xdr:col>13</xdr:col>
                <xdr:colOff>19050</xdr:colOff>
                <xdr:row>17</xdr:row>
                <xdr:rowOff>19050</xdr:rowOff>
              </from>
              <to>
                <xdr:col>13</xdr:col>
                <xdr:colOff>647700</xdr:colOff>
                <xdr:row>18</xdr:row>
                <xdr:rowOff>114300</xdr:rowOff>
              </to>
            </anchor>
          </controlPr>
        </control>
      </mc:Choice>
      <mc:Fallback>
        <control shapeId="2056" r:id="rId16" name="btnGetFold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4EA08-D272-4460-BC55-D543E22A9065}">
  <sheetPr codeName="Sheet1"/>
  <dimension ref="A1"/>
  <sheetViews>
    <sheetView rightToLeft="1" workbookViewId="0"/>
  </sheetViews>
  <sheetFormatPr defaultRowHeight="14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GENERATE</vt:lpstr>
      <vt:lpstr>MAP</vt:lpstr>
      <vt:lpstr>BillDate</vt:lpstr>
      <vt:lpstr>EUR</vt:lpstr>
      <vt:lpstr>FileName</vt:lpstr>
      <vt:lpstr>FolderName</vt:lpstr>
      <vt:lpstr>FromLine</vt:lpstr>
      <vt:lpstr>SourceSheet</vt:lpstr>
      <vt:lpstr>ToLine</vt:lpstr>
      <vt:lpstr>USD</vt:lpstr>
    </vt:vector>
  </TitlesOfParts>
  <Company>BDO.co.il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Tzvika Gross</dc:creator>
  <cp:lastModifiedBy>Tzvika Gross</cp:lastModifiedBy>
  <dcterms:created xsi:type="dcterms:W3CDTF">2024-01-28T03:07:39Z</dcterms:created>
  <dcterms:modified xsi:type="dcterms:W3CDTF">2025-11-05T16:41:30Z</dcterms:modified>
</cp:coreProperties>
</file>