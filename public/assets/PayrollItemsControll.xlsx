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tzvikagross/Documents/Documents/VSCode/Payroll Checks/"/>
    </mc:Choice>
  </mc:AlternateContent>
  <xr:revisionPtr revIDLastSave="0" documentId="13_ncr:1_{F6BB8A4E-ECA6-8A4A-B84E-E26BD7676A36}" xr6:coauthVersionLast="47" xr6:coauthVersionMax="47" xr10:uidLastSave="{00000000-0000-0000-0000-000000000000}"/>
  <bookViews>
    <workbookView xWindow="0" yWindow="500" windowWidth="38400" windowHeight="19720" tabRatio="637" firstSheet="2" activeTab="8" xr2:uid="{1D50AD0F-109A-4A7F-A436-5E295F1E50C9}"/>
  </bookViews>
  <sheets>
    <sheet name="הערות" sheetId="10" r:id="rId1"/>
    <sheet name="Client" sheetId="1" r:id="rId2"/>
    <sheet name="System" sheetId="2" r:id="rId3"/>
    <sheet name="Deductions" sheetId="6" r:id="rId4"/>
    <sheet name="SBC" sheetId="7" r:id="rId5"/>
    <sheet name="Link" sheetId="4" r:id="rId6"/>
    <sheet name="Payroll_Findings" sheetId="5" r:id="rId7"/>
    <sheet name="WHT_Findings" sheetId="8" r:id="rId8"/>
    <sheet name="SBC_Findings" sheetId="9" r:id="rId9"/>
    <sheet name="Test" sheetId="11" r:id="rId10"/>
  </sheets>
  <definedNames>
    <definedName name="_xlnm._FilterDatabase" localSheetId="3" hidden="1">Deductions!$A$1:$K$151</definedName>
    <definedName name="_xlnm._FilterDatabase" localSheetId="4" hidden="1">SBC!$A$1:$R$196</definedName>
    <definedName name="_xlnm._FilterDatabase" localSheetId="2" hidden="1">System!$A$1:$J$804</definedName>
    <definedName name="ClientData">Client!$1:$152</definedName>
    <definedName name="ClientID">Link!$O$3</definedName>
    <definedName name="Codes">Link!$C$8:$D$112</definedName>
    <definedName name="DedCode">Link!$J$3</definedName>
    <definedName name="DedEmp">Link!$J$2</definedName>
    <definedName name="DedName">Link!$J$4</definedName>
    <definedName name="DeductionCodes">Link!$I$8:$K$50</definedName>
    <definedName name="DeductionData">Deductions!$A$1:$K$1638</definedName>
    <definedName name="DedValue">Link!$J$5</definedName>
    <definedName name="EmpID">Link!$D$2</definedName>
    <definedName name="EmpName">Link!$D$3</definedName>
    <definedName name="IgnoreCodes">Link!$F$8:$G$39</definedName>
    <definedName name="MinDiff">Link!$D$4</definedName>
    <definedName name="SBCcodes">Link!$M$8:$P$65</definedName>
    <definedName name="SBCdata">SBC!$A$1:$S$1000</definedName>
    <definedName name="SBCID">Link!$O$2</definedName>
    <definedName name="SBCType">Link!$O$4</definedName>
    <definedName name="SysCode">Link!$G$3</definedName>
    <definedName name="SysEmpID">Link!$G$2</definedName>
    <definedName name="SysItemName">Link!$G$4</definedName>
    <definedName name="SystemData">System!$A$1:$L$3000</definedName>
    <definedName name="SysValue">Link!$G$5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O192" i="7"/>
  <c r="O196" i="7" s="1"/>
  <c r="N3" i="7"/>
  <c r="L3" i="7"/>
  <c r="H3" i="7"/>
  <c r="N2" i="7"/>
  <c r="L2" i="7"/>
  <c r="H2" i="7"/>
  <c r="N189" i="7"/>
  <c r="L189" i="7"/>
  <c r="H189" i="7"/>
  <c r="N117" i="7"/>
  <c r="L117" i="7"/>
  <c r="H117" i="7"/>
  <c r="N14" i="7"/>
  <c r="L14" i="7"/>
  <c r="H14" i="7"/>
  <c r="N134" i="7"/>
  <c r="L134" i="7"/>
  <c r="H134" i="7"/>
  <c r="N133" i="7"/>
  <c r="L133" i="7"/>
  <c r="H133" i="7"/>
  <c r="N116" i="7"/>
  <c r="L116" i="7"/>
  <c r="H116" i="7"/>
  <c r="N180" i="7"/>
  <c r="L180" i="7"/>
  <c r="N179" i="7"/>
  <c r="L179" i="7"/>
  <c r="N178" i="7"/>
  <c r="L178" i="7"/>
  <c r="N115" i="7"/>
  <c r="L115" i="7"/>
  <c r="N114" i="7"/>
  <c r="L114" i="7"/>
  <c r="N113" i="7"/>
  <c r="L113" i="7"/>
  <c r="N112" i="7"/>
  <c r="L112" i="7"/>
  <c r="N111" i="7"/>
  <c r="L111" i="7"/>
  <c r="N110" i="7"/>
  <c r="L110" i="7"/>
  <c r="N109" i="7"/>
  <c r="L109" i="7"/>
  <c r="N108" i="7"/>
  <c r="L108" i="7"/>
  <c r="N105" i="7"/>
  <c r="L105" i="7"/>
  <c r="N104" i="7"/>
  <c r="L104" i="7"/>
  <c r="N103" i="7"/>
  <c r="L103" i="7"/>
  <c r="N102" i="7"/>
  <c r="L102" i="7"/>
  <c r="N24" i="7"/>
  <c r="L24" i="7"/>
  <c r="N23" i="7"/>
  <c r="L23" i="7"/>
  <c r="N22" i="7"/>
  <c r="L22" i="7"/>
  <c r="N21" i="7"/>
  <c r="L21" i="7"/>
  <c r="N20" i="7"/>
  <c r="L20" i="7"/>
  <c r="N19" i="7"/>
  <c r="L19" i="7"/>
  <c r="N18" i="7"/>
  <c r="L18" i="7"/>
  <c r="N17" i="7"/>
  <c r="L17" i="7"/>
  <c r="N16" i="7"/>
  <c r="L16" i="7"/>
  <c r="N15" i="7"/>
  <c r="L15" i="7"/>
  <c r="N177" i="7"/>
  <c r="L177" i="7"/>
  <c r="N159" i="7"/>
  <c r="L159" i="7"/>
  <c r="N158" i="7"/>
  <c r="L158" i="7"/>
  <c r="N157" i="7"/>
  <c r="L157" i="7"/>
  <c r="N156" i="7"/>
  <c r="L156" i="7"/>
  <c r="N155" i="7"/>
  <c r="L155" i="7"/>
  <c r="N154" i="7"/>
  <c r="L154" i="7"/>
  <c r="N153" i="7"/>
  <c r="L153" i="7"/>
  <c r="N152" i="7"/>
  <c r="L152" i="7"/>
  <c r="N144" i="7"/>
  <c r="L144" i="7"/>
  <c r="N143" i="7"/>
  <c r="L143" i="7"/>
  <c r="N142" i="7"/>
  <c r="L142" i="7"/>
  <c r="N141" i="7"/>
  <c r="L141" i="7"/>
  <c r="N70" i="7"/>
  <c r="L70" i="7"/>
  <c r="N69" i="7"/>
  <c r="L69" i="7"/>
  <c r="N68" i="7"/>
  <c r="L68" i="7"/>
  <c r="N67" i="7"/>
  <c r="L67" i="7"/>
  <c r="N66" i="7"/>
  <c r="L66" i="7"/>
  <c r="N65" i="7"/>
  <c r="L65" i="7"/>
  <c r="N64" i="7"/>
  <c r="L64" i="7"/>
  <c r="N63" i="7"/>
  <c r="L63" i="7"/>
  <c r="N62" i="7"/>
  <c r="L62" i="7"/>
  <c r="N61" i="7"/>
  <c r="L61" i="7"/>
  <c r="N60" i="7"/>
  <c r="L60" i="7"/>
  <c r="N43" i="7"/>
  <c r="L43" i="7"/>
  <c r="N42" i="7"/>
  <c r="L42" i="7"/>
  <c r="N41" i="7"/>
  <c r="L41" i="7"/>
  <c r="N40" i="7"/>
  <c r="L40" i="7"/>
  <c r="N39" i="7"/>
  <c r="L39" i="7"/>
  <c r="N38" i="7"/>
  <c r="L38" i="7"/>
  <c r="N37" i="7"/>
  <c r="L37" i="7"/>
  <c r="N36" i="7"/>
  <c r="L36" i="7"/>
  <c r="N56" i="7"/>
  <c r="L56" i="7"/>
  <c r="N73" i="7"/>
  <c r="L73" i="7"/>
  <c r="N59" i="7"/>
  <c r="L59" i="7"/>
  <c r="N58" i="7"/>
  <c r="L58" i="7"/>
  <c r="N57" i="7"/>
  <c r="L57" i="7"/>
  <c r="N188" i="7"/>
  <c r="L188" i="7"/>
  <c r="N187" i="7"/>
  <c r="L187" i="7"/>
  <c r="N186" i="7"/>
  <c r="L186" i="7"/>
  <c r="N185" i="7"/>
  <c r="L185" i="7"/>
  <c r="N184" i="7"/>
  <c r="L184" i="7"/>
  <c r="N107" i="7"/>
  <c r="L107" i="7"/>
  <c r="N106" i="7"/>
  <c r="L106" i="7"/>
  <c r="N169" i="7"/>
  <c r="L169" i="7"/>
  <c r="N168" i="7"/>
  <c r="L168" i="7"/>
  <c r="N167" i="7"/>
  <c r="L167" i="7"/>
  <c r="N166" i="7"/>
  <c r="L166" i="7"/>
  <c r="N165" i="7"/>
  <c r="L165" i="7"/>
  <c r="N164" i="7"/>
  <c r="L164" i="7"/>
  <c r="N163" i="7"/>
  <c r="L163" i="7"/>
  <c r="N162" i="7"/>
  <c r="L162" i="7"/>
  <c r="N161" i="7"/>
  <c r="L161" i="7"/>
  <c r="N160" i="7"/>
  <c r="L160" i="7"/>
  <c r="N101" i="7"/>
  <c r="L101" i="7"/>
  <c r="N100" i="7"/>
  <c r="L100" i="7"/>
  <c r="N99" i="7"/>
  <c r="L99" i="7"/>
  <c r="N98" i="7"/>
  <c r="L98" i="7"/>
  <c r="N97" i="7"/>
  <c r="L97" i="7"/>
  <c r="N96" i="7"/>
  <c r="L96" i="7"/>
  <c r="N95" i="7"/>
  <c r="L95" i="7"/>
  <c r="N94" i="7"/>
  <c r="L94" i="7"/>
  <c r="N93" i="7"/>
  <c r="L93" i="7"/>
  <c r="N92" i="7"/>
  <c r="L92" i="7"/>
  <c r="N91" i="7"/>
  <c r="L91" i="7"/>
  <c r="N90" i="7"/>
  <c r="L90" i="7"/>
  <c r="N89" i="7"/>
  <c r="L89" i="7"/>
  <c r="N88" i="7"/>
  <c r="L88" i="7"/>
  <c r="N87" i="7"/>
  <c r="L87" i="7"/>
  <c r="N86" i="7"/>
  <c r="L86" i="7"/>
  <c r="N85" i="7"/>
  <c r="L85" i="7"/>
  <c r="N84" i="7"/>
  <c r="L84" i="7"/>
  <c r="N29" i="7"/>
  <c r="L29" i="7"/>
  <c r="N28" i="7"/>
  <c r="L28" i="7"/>
  <c r="N27" i="7"/>
  <c r="L27" i="7"/>
  <c r="N26" i="7"/>
  <c r="L26" i="7"/>
  <c r="N25" i="7"/>
  <c r="L25" i="7"/>
  <c r="N13" i="7"/>
  <c r="L13" i="7"/>
  <c r="N12" i="7"/>
  <c r="L12" i="7"/>
  <c r="N11" i="7"/>
  <c r="L11" i="7"/>
  <c r="N10" i="7"/>
  <c r="L10" i="7"/>
  <c r="N9" i="7"/>
  <c r="L9" i="7"/>
  <c r="N8" i="7"/>
  <c r="L8" i="7"/>
  <c r="N7" i="7"/>
  <c r="L7" i="7"/>
  <c r="N55" i="7"/>
  <c r="L55" i="7"/>
  <c r="N176" i="7"/>
  <c r="L176" i="7"/>
  <c r="N140" i="7"/>
  <c r="L140" i="7"/>
  <c r="N139" i="7"/>
  <c r="L139" i="7"/>
  <c r="N138" i="7"/>
  <c r="L138" i="7"/>
  <c r="N137" i="7"/>
  <c r="L137" i="7"/>
  <c r="N136" i="7"/>
  <c r="L136" i="7"/>
  <c r="N135" i="7"/>
  <c r="L135" i="7"/>
  <c r="N54" i="7"/>
  <c r="L54" i="7"/>
  <c r="N53" i="7"/>
  <c r="L53" i="7"/>
  <c r="N52" i="7"/>
  <c r="L52" i="7"/>
  <c r="N51" i="7"/>
  <c r="L51" i="7"/>
  <c r="N50" i="7"/>
  <c r="L50" i="7"/>
  <c r="N35" i="7"/>
  <c r="L35" i="7"/>
  <c r="N34" i="7"/>
  <c r="L34" i="7"/>
  <c r="N33" i="7"/>
  <c r="L33" i="7"/>
  <c r="N6" i="7"/>
  <c r="L6" i="7"/>
  <c r="N5" i="7"/>
  <c r="L5" i="7"/>
  <c r="N175" i="7"/>
  <c r="L175" i="7"/>
  <c r="N72" i="7"/>
  <c r="L72" i="7"/>
  <c r="N71" i="7"/>
  <c r="L71" i="7"/>
  <c r="N45" i="7"/>
  <c r="L45" i="7"/>
  <c r="N183" i="7"/>
  <c r="L183" i="7"/>
  <c r="N182" i="7"/>
  <c r="L182" i="7"/>
  <c r="N181" i="7"/>
  <c r="L181" i="7"/>
  <c r="N174" i="7"/>
  <c r="L174" i="7"/>
  <c r="N49" i="7"/>
  <c r="L49" i="7"/>
  <c r="N48" i="7"/>
  <c r="L48" i="7"/>
  <c r="N47" i="7"/>
  <c r="L47" i="7"/>
  <c r="N4" i="7"/>
  <c r="L4" i="7"/>
  <c r="N173" i="7"/>
  <c r="L173" i="7"/>
  <c r="N172" i="7"/>
  <c r="L172" i="7"/>
  <c r="N171" i="7"/>
  <c r="L171" i="7"/>
  <c r="N170" i="7"/>
  <c r="L170" i="7"/>
  <c r="N151" i="7"/>
  <c r="L151" i="7"/>
  <c r="N150" i="7"/>
  <c r="L150" i="7"/>
  <c r="N149" i="7"/>
  <c r="L149" i="7"/>
  <c r="N148" i="7"/>
  <c r="L148" i="7"/>
  <c r="N32" i="7"/>
  <c r="L32" i="7"/>
  <c r="N31" i="7"/>
  <c r="L31" i="7"/>
  <c r="N30" i="7"/>
  <c r="L30" i="7"/>
  <c r="N147" i="7"/>
  <c r="L147" i="7"/>
  <c r="N146" i="7"/>
  <c r="L146" i="7"/>
  <c r="N145" i="7"/>
  <c r="L145" i="7"/>
  <c r="N83" i="7"/>
  <c r="L83" i="7"/>
  <c r="N82" i="7"/>
  <c r="L82" i="7"/>
  <c r="N81" i="7"/>
  <c r="L81" i="7"/>
  <c r="N80" i="7"/>
  <c r="L80" i="7"/>
  <c r="N79" i="7"/>
  <c r="L79" i="7"/>
  <c r="N78" i="7"/>
  <c r="L78" i="7"/>
  <c r="N77" i="7"/>
  <c r="L77" i="7"/>
  <c r="N76" i="7"/>
  <c r="L76" i="7"/>
  <c r="N75" i="7"/>
  <c r="L75" i="7"/>
  <c r="N74" i="7"/>
  <c r="L74" i="7"/>
  <c r="N132" i="7"/>
  <c r="L132" i="7"/>
  <c r="N131" i="7"/>
  <c r="L131" i="7"/>
  <c r="N130" i="7"/>
  <c r="L130" i="7"/>
  <c r="N129" i="7"/>
  <c r="L129" i="7"/>
  <c r="N128" i="7"/>
  <c r="L128" i="7"/>
  <c r="N127" i="7"/>
  <c r="L127" i="7"/>
  <c r="N126" i="7"/>
  <c r="L126" i="7"/>
  <c r="N125" i="7"/>
  <c r="L125" i="7"/>
  <c r="N124" i="7"/>
  <c r="L124" i="7"/>
  <c r="N123" i="7"/>
  <c r="L123" i="7"/>
  <c r="N122" i="7"/>
  <c r="L122" i="7"/>
  <c r="N121" i="7"/>
  <c r="L121" i="7"/>
  <c r="N120" i="7"/>
  <c r="L120" i="7"/>
  <c r="N119" i="7"/>
  <c r="L119" i="7"/>
  <c r="N118" i="7"/>
  <c r="L118" i="7"/>
  <c r="N44" i="7"/>
  <c r="L44" i="7"/>
  <c r="N46" i="7"/>
  <c r="L46" i="7"/>
  <c r="AV100" i="1"/>
  <c r="AU100" i="1"/>
  <c r="AT100" i="1"/>
  <c r="AS100" i="1"/>
  <c r="AR100" i="1"/>
  <c r="AQ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O100" i="1"/>
  <c r="J100" i="1"/>
  <c r="E100" i="1"/>
  <c r="AO98" i="1"/>
  <c r="AP98" i="1" s="1"/>
  <c r="AN98" i="1"/>
  <c r="N98" i="1"/>
  <c r="P98" i="1" s="1"/>
  <c r="M98" i="1"/>
  <c r="L98" i="1"/>
  <c r="AO97" i="1"/>
  <c r="AP97" i="1" s="1"/>
  <c r="AN97" i="1"/>
  <c r="M97" i="1"/>
  <c r="L97" i="1"/>
  <c r="AO96" i="1"/>
  <c r="AP96" i="1" s="1"/>
  <c r="AN96" i="1"/>
  <c r="M96" i="1"/>
  <c r="L96" i="1"/>
  <c r="N96" i="1" s="1"/>
  <c r="P96" i="1" s="1"/>
  <c r="AO95" i="1"/>
  <c r="AP95" i="1" s="1"/>
  <c r="AN95" i="1"/>
  <c r="M95" i="1"/>
  <c r="L95" i="1"/>
  <c r="N95" i="1" s="1"/>
  <c r="P95" i="1" s="1"/>
  <c r="AO94" i="1"/>
  <c r="AP94" i="1" s="1"/>
  <c r="AN94" i="1"/>
  <c r="M94" i="1"/>
  <c r="L94" i="1"/>
  <c r="N94" i="1" s="1"/>
  <c r="P94" i="1" s="1"/>
  <c r="AO93" i="1"/>
  <c r="AP93" i="1" s="1"/>
  <c r="AN93" i="1"/>
  <c r="M93" i="1"/>
  <c r="L93" i="1"/>
  <c r="AO92" i="1"/>
  <c r="AP92" i="1" s="1"/>
  <c r="AN92" i="1"/>
  <c r="M92" i="1"/>
  <c r="L92" i="1"/>
  <c r="N92" i="1" s="1"/>
  <c r="P92" i="1" s="1"/>
  <c r="AO91" i="1"/>
  <c r="AP91" i="1" s="1"/>
  <c r="AN91" i="1"/>
  <c r="M91" i="1"/>
  <c r="L91" i="1"/>
  <c r="N91" i="1" s="1"/>
  <c r="P91" i="1" s="1"/>
  <c r="AO90" i="1"/>
  <c r="AP90" i="1" s="1"/>
  <c r="AN90" i="1"/>
  <c r="N90" i="1"/>
  <c r="P90" i="1" s="1"/>
  <c r="M90" i="1"/>
  <c r="L90" i="1"/>
  <c r="AO89" i="1"/>
  <c r="AP89" i="1" s="1"/>
  <c r="AN89" i="1"/>
  <c r="M89" i="1"/>
  <c r="L89" i="1"/>
  <c r="AO88" i="1"/>
  <c r="AP88" i="1" s="1"/>
  <c r="AN88" i="1"/>
  <c r="M88" i="1"/>
  <c r="L88" i="1"/>
  <c r="N88" i="1" s="1"/>
  <c r="P88" i="1" s="1"/>
  <c r="AO87" i="1"/>
  <c r="AP87" i="1" s="1"/>
  <c r="AN87" i="1"/>
  <c r="M87" i="1"/>
  <c r="L87" i="1"/>
  <c r="N87" i="1" s="1"/>
  <c r="P87" i="1" s="1"/>
  <c r="AO86" i="1"/>
  <c r="AP86" i="1" s="1"/>
  <c r="AN86" i="1"/>
  <c r="M86" i="1"/>
  <c r="L86" i="1"/>
  <c r="N86" i="1" s="1"/>
  <c r="P86" i="1" s="1"/>
  <c r="AO85" i="1"/>
  <c r="AP85" i="1" s="1"/>
  <c r="AN85" i="1"/>
  <c r="M85" i="1"/>
  <c r="L85" i="1"/>
  <c r="AO84" i="1"/>
  <c r="AP84" i="1" s="1"/>
  <c r="AN84" i="1"/>
  <c r="M84" i="1"/>
  <c r="L84" i="1"/>
  <c r="N84" i="1" s="1"/>
  <c r="P84" i="1" s="1"/>
  <c r="AO83" i="1"/>
  <c r="AP83" i="1" s="1"/>
  <c r="AN83" i="1"/>
  <c r="M83" i="1"/>
  <c r="L83" i="1"/>
  <c r="N83" i="1" s="1"/>
  <c r="P83" i="1" s="1"/>
  <c r="AO82" i="1"/>
  <c r="AP82" i="1" s="1"/>
  <c r="AN82" i="1"/>
  <c r="N82" i="1"/>
  <c r="P82" i="1" s="1"/>
  <c r="M82" i="1"/>
  <c r="L82" i="1"/>
  <c r="AO81" i="1"/>
  <c r="AP81" i="1" s="1"/>
  <c r="AN81" i="1"/>
  <c r="M81" i="1"/>
  <c r="L81" i="1"/>
  <c r="AO80" i="1"/>
  <c r="AP80" i="1" s="1"/>
  <c r="AN80" i="1"/>
  <c r="M80" i="1"/>
  <c r="L80" i="1"/>
  <c r="N80" i="1" s="1"/>
  <c r="P80" i="1" s="1"/>
  <c r="AO79" i="1"/>
  <c r="AP79" i="1" s="1"/>
  <c r="AN79" i="1"/>
  <c r="M79" i="1"/>
  <c r="L79" i="1"/>
  <c r="N79" i="1" s="1"/>
  <c r="P79" i="1" s="1"/>
  <c r="AO78" i="1"/>
  <c r="AP78" i="1" s="1"/>
  <c r="AN78" i="1"/>
  <c r="M78" i="1"/>
  <c r="L78" i="1"/>
  <c r="N78" i="1" s="1"/>
  <c r="P78" i="1" s="1"/>
  <c r="AO77" i="1"/>
  <c r="AP77" i="1" s="1"/>
  <c r="AN77" i="1"/>
  <c r="M77" i="1"/>
  <c r="L77" i="1"/>
  <c r="AO76" i="1"/>
  <c r="AP76" i="1" s="1"/>
  <c r="AN76" i="1"/>
  <c r="M76" i="1"/>
  <c r="L76" i="1"/>
  <c r="N76" i="1" s="1"/>
  <c r="P76" i="1" s="1"/>
  <c r="AO75" i="1"/>
  <c r="AP75" i="1" s="1"/>
  <c r="AN75" i="1"/>
  <c r="M75" i="1"/>
  <c r="L75" i="1"/>
  <c r="N75" i="1" s="1"/>
  <c r="P75" i="1" s="1"/>
  <c r="AO74" i="1"/>
  <c r="AP74" i="1" s="1"/>
  <c r="AN74" i="1"/>
  <c r="N74" i="1"/>
  <c r="P74" i="1" s="1"/>
  <c r="M74" i="1"/>
  <c r="L74" i="1"/>
  <c r="AO73" i="1"/>
  <c r="AP73" i="1" s="1"/>
  <c r="AN73" i="1"/>
  <c r="M73" i="1"/>
  <c r="L73" i="1"/>
  <c r="AO72" i="1"/>
  <c r="AP72" i="1" s="1"/>
  <c r="AN72" i="1"/>
  <c r="M72" i="1"/>
  <c r="L72" i="1"/>
  <c r="N72" i="1" s="1"/>
  <c r="P72" i="1" s="1"/>
  <c r="AO71" i="1"/>
  <c r="AP71" i="1" s="1"/>
  <c r="AN71" i="1"/>
  <c r="M71" i="1"/>
  <c r="L71" i="1"/>
  <c r="N71" i="1" s="1"/>
  <c r="P71" i="1" s="1"/>
  <c r="AO70" i="1"/>
  <c r="AP70" i="1" s="1"/>
  <c r="AN70" i="1"/>
  <c r="M70" i="1"/>
  <c r="L70" i="1"/>
  <c r="N70" i="1" s="1"/>
  <c r="P70" i="1" s="1"/>
  <c r="AO69" i="1"/>
  <c r="AP69" i="1" s="1"/>
  <c r="AN69" i="1"/>
  <c r="M69" i="1"/>
  <c r="L69" i="1"/>
  <c r="AO68" i="1"/>
  <c r="AP68" i="1" s="1"/>
  <c r="AN68" i="1"/>
  <c r="M68" i="1"/>
  <c r="L68" i="1"/>
  <c r="N68" i="1" s="1"/>
  <c r="P68" i="1" s="1"/>
  <c r="AO67" i="1"/>
  <c r="AP67" i="1" s="1"/>
  <c r="AN67" i="1"/>
  <c r="M67" i="1"/>
  <c r="L67" i="1"/>
  <c r="N67" i="1" s="1"/>
  <c r="P67" i="1" s="1"/>
  <c r="AO66" i="1"/>
  <c r="AP66" i="1" s="1"/>
  <c r="AN66" i="1"/>
  <c r="N66" i="1"/>
  <c r="P66" i="1" s="1"/>
  <c r="M66" i="1"/>
  <c r="L66" i="1"/>
  <c r="AO65" i="1"/>
  <c r="AP65" i="1" s="1"/>
  <c r="AN65" i="1"/>
  <c r="M65" i="1"/>
  <c r="L65" i="1"/>
  <c r="AO64" i="1"/>
  <c r="AP64" i="1" s="1"/>
  <c r="AN64" i="1"/>
  <c r="M64" i="1"/>
  <c r="L64" i="1"/>
  <c r="N64" i="1" s="1"/>
  <c r="P64" i="1" s="1"/>
  <c r="AO63" i="1"/>
  <c r="AP63" i="1" s="1"/>
  <c r="AN63" i="1"/>
  <c r="M63" i="1"/>
  <c r="L63" i="1"/>
  <c r="N63" i="1" s="1"/>
  <c r="P63" i="1" s="1"/>
  <c r="AO62" i="1"/>
  <c r="AP62" i="1" s="1"/>
  <c r="AN62" i="1"/>
  <c r="P62" i="1"/>
  <c r="AO61" i="1"/>
  <c r="AP61" i="1" s="1"/>
  <c r="AN61" i="1"/>
  <c r="M61" i="1"/>
  <c r="L61" i="1"/>
  <c r="N61" i="1" s="1"/>
  <c r="P61" i="1" s="1"/>
  <c r="AO60" i="1"/>
  <c r="AP60" i="1" s="1"/>
  <c r="AN60" i="1"/>
  <c r="M60" i="1"/>
  <c r="L60" i="1"/>
  <c r="AO59" i="1"/>
  <c r="AP59" i="1" s="1"/>
  <c r="AN59" i="1"/>
  <c r="M59" i="1"/>
  <c r="L59" i="1"/>
  <c r="N59" i="1" s="1"/>
  <c r="P59" i="1" s="1"/>
  <c r="AO58" i="1"/>
  <c r="AP58" i="1" s="1"/>
  <c r="AN58" i="1"/>
  <c r="M58" i="1"/>
  <c r="L58" i="1"/>
  <c r="N58" i="1" s="1"/>
  <c r="P58" i="1" s="1"/>
  <c r="AO57" i="1"/>
  <c r="AP57" i="1" s="1"/>
  <c r="AN57" i="1"/>
  <c r="N57" i="1"/>
  <c r="P57" i="1" s="1"/>
  <c r="M57" i="1"/>
  <c r="L57" i="1"/>
  <c r="AO56" i="1"/>
  <c r="AP56" i="1" s="1"/>
  <c r="AN56" i="1"/>
  <c r="M56" i="1"/>
  <c r="L56" i="1"/>
  <c r="AO55" i="1"/>
  <c r="AP55" i="1" s="1"/>
  <c r="AN55" i="1"/>
  <c r="M55" i="1"/>
  <c r="L55" i="1"/>
  <c r="N55" i="1" s="1"/>
  <c r="P55" i="1" s="1"/>
  <c r="AO54" i="1"/>
  <c r="AP54" i="1" s="1"/>
  <c r="AN54" i="1"/>
  <c r="M54" i="1"/>
  <c r="L54" i="1"/>
  <c r="N54" i="1" s="1"/>
  <c r="P54" i="1" s="1"/>
  <c r="AO53" i="1"/>
  <c r="AP53" i="1" s="1"/>
  <c r="AN53" i="1"/>
  <c r="M53" i="1"/>
  <c r="L53" i="1"/>
  <c r="N53" i="1" s="1"/>
  <c r="P53" i="1" s="1"/>
  <c r="AO52" i="1"/>
  <c r="AP52" i="1" s="1"/>
  <c r="AN52" i="1"/>
  <c r="M52" i="1"/>
  <c r="L52" i="1"/>
  <c r="AO51" i="1"/>
  <c r="AP51" i="1" s="1"/>
  <c r="AN51" i="1"/>
  <c r="M51" i="1"/>
  <c r="L51" i="1"/>
  <c r="N51" i="1" s="1"/>
  <c r="P51" i="1" s="1"/>
  <c r="AO50" i="1"/>
  <c r="AP50" i="1" s="1"/>
  <c r="AN50" i="1"/>
  <c r="M50" i="1"/>
  <c r="L50" i="1"/>
  <c r="N50" i="1" s="1"/>
  <c r="P50" i="1" s="1"/>
  <c r="AO49" i="1"/>
  <c r="AP49" i="1" s="1"/>
  <c r="AN49" i="1"/>
  <c r="N49" i="1"/>
  <c r="P49" i="1" s="1"/>
  <c r="M49" i="1"/>
  <c r="L49" i="1"/>
  <c r="AO48" i="1"/>
  <c r="AP48" i="1" s="1"/>
  <c r="AN48" i="1"/>
  <c r="M48" i="1"/>
  <c r="L48" i="1"/>
  <c r="AO47" i="1"/>
  <c r="AP47" i="1" s="1"/>
  <c r="AN47" i="1"/>
  <c r="M47" i="1"/>
  <c r="L47" i="1"/>
  <c r="N47" i="1" s="1"/>
  <c r="P47" i="1" s="1"/>
  <c r="AO46" i="1"/>
  <c r="AP46" i="1" s="1"/>
  <c r="AN46" i="1"/>
  <c r="M46" i="1"/>
  <c r="L46" i="1"/>
  <c r="N46" i="1" s="1"/>
  <c r="P46" i="1" s="1"/>
  <c r="AO45" i="1"/>
  <c r="AP45" i="1" s="1"/>
  <c r="AN45" i="1"/>
  <c r="M45" i="1"/>
  <c r="L45" i="1"/>
  <c r="N45" i="1" s="1"/>
  <c r="P45" i="1" s="1"/>
  <c r="AO44" i="1"/>
  <c r="AP44" i="1" s="1"/>
  <c r="AN44" i="1"/>
  <c r="M44" i="1"/>
  <c r="L44" i="1"/>
  <c r="AO43" i="1"/>
  <c r="AP43" i="1" s="1"/>
  <c r="AN43" i="1"/>
  <c r="M43" i="1"/>
  <c r="L43" i="1"/>
  <c r="N43" i="1" s="1"/>
  <c r="P43" i="1" s="1"/>
  <c r="AO42" i="1"/>
  <c r="AP42" i="1" s="1"/>
  <c r="AN42" i="1"/>
  <c r="M42" i="1"/>
  <c r="L42" i="1"/>
  <c r="N42" i="1" s="1"/>
  <c r="P42" i="1" s="1"/>
  <c r="AO41" i="1"/>
  <c r="AP41" i="1" s="1"/>
  <c r="AN41" i="1"/>
  <c r="N41" i="1"/>
  <c r="P41" i="1" s="1"/>
  <c r="M41" i="1"/>
  <c r="L41" i="1"/>
  <c r="AO40" i="1"/>
  <c r="AP40" i="1" s="1"/>
  <c r="AN40" i="1"/>
  <c r="M40" i="1"/>
  <c r="L40" i="1"/>
  <c r="AO39" i="1"/>
  <c r="AP39" i="1" s="1"/>
  <c r="AN39" i="1"/>
  <c r="M39" i="1"/>
  <c r="L39" i="1"/>
  <c r="N39" i="1" s="1"/>
  <c r="P39" i="1" s="1"/>
  <c r="AO38" i="1"/>
  <c r="AP38" i="1" s="1"/>
  <c r="AN38" i="1"/>
  <c r="M38" i="1"/>
  <c r="L38" i="1"/>
  <c r="N38" i="1" s="1"/>
  <c r="P38" i="1" s="1"/>
  <c r="AO37" i="1"/>
  <c r="AP37" i="1" s="1"/>
  <c r="AN37" i="1"/>
  <c r="M37" i="1"/>
  <c r="L37" i="1"/>
  <c r="N37" i="1" s="1"/>
  <c r="P37" i="1" s="1"/>
  <c r="AO36" i="1"/>
  <c r="AP36" i="1" s="1"/>
  <c r="AN36" i="1"/>
  <c r="M36" i="1"/>
  <c r="L36" i="1"/>
  <c r="AO35" i="1"/>
  <c r="AP35" i="1" s="1"/>
  <c r="AN35" i="1"/>
  <c r="M35" i="1"/>
  <c r="L35" i="1"/>
  <c r="N35" i="1" s="1"/>
  <c r="P35" i="1" s="1"/>
  <c r="AO34" i="1"/>
  <c r="AP34" i="1" s="1"/>
  <c r="AN34" i="1"/>
  <c r="M34" i="1"/>
  <c r="L34" i="1"/>
  <c r="N34" i="1" s="1"/>
  <c r="P34" i="1" s="1"/>
  <c r="AO33" i="1"/>
  <c r="AP33" i="1" s="1"/>
  <c r="AN33" i="1"/>
  <c r="N33" i="1"/>
  <c r="P33" i="1" s="1"/>
  <c r="M33" i="1"/>
  <c r="L33" i="1"/>
  <c r="AO32" i="1"/>
  <c r="AP32" i="1" s="1"/>
  <c r="AN32" i="1"/>
  <c r="M32" i="1"/>
  <c r="L32" i="1"/>
  <c r="AO31" i="1"/>
  <c r="AP31" i="1" s="1"/>
  <c r="AN31" i="1"/>
  <c r="M31" i="1"/>
  <c r="L31" i="1"/>
  <c r="N31" i="1" s="1"/>
  <c r="P31" i="1" s="1"/>
  <c r="AO30" i="1"/>
  <c r="AP30" i="1" s="1"/>
  <c r="AN30" i="1"/>
  <c r="M30" i="1"/>
  <c r="L30" i="1"/>
  <c r="N30" i="1" s="1"/>
  <c r="P30" i="1" s="1"/>
  <c r="AO29" i="1"/>
  <c r="AP29" i="1" s="1"/>
  <c r="AN29" i="1"/>
  <c r="M29" i="1"/>
  <c r="L29" i="1"/>
  <c r="N29" i="1" s="1"/>
  <c r="P29" i="1" s="1"/>
  <c r="AO28" i="1"/>
  <c r="AP28" i="1" s="1"/>
  <c r="AN28" i="1"/>
  <c r="M28" i="1"/>
  <c r="L28" i="1"/>
  <c r="AO27" i="1"/>
  <c r="AP27" i="1" s="1"/>
  <c r="AN27" i="1"/>
  <c r="M27" i="1"/>
  <c r="L27" i="1"/>
  <c r="N27" i="1" s="1"/>
  <c r="P27" i="1" s="1"/>
  <c r="AO26" i="1"/>
  <c r="AP26" i="1" s="1"/>
  <c r="AN26" i="1"/>
  <c r="M26" i="1"/>
  <c r="L26" i="1"/>
  <c r="N26" i="1" s="1"/>
  <c r="P26" i="1" s="1"/>
  <c r="AO25" i="1"/>
  <c r="AP25" i="1" s="1"/>
  <c r="AN25" i="1"/>
  <c r="N25" i="1"/>
  <c r="P25" i="1" s="1"/>
  <c r="M25" i="1"/>
  <c r="L25" i="1"/>
  <c r="AO24" i="1"/>
  <c r="AP24" i="1" s="1"/>
  <c r="AN24" i="1"/>
  <c r="M24" i="1"/>
  <c r="L24" i="1"/>
  <c r="AO23" i="1"/>
  <c r="AP23" i="1" s="1"/>
  <c r="AN23" i="1"/>
  <c r="M23" i="1"/>
  <c r="L23" i="1"/>
  <c r="N23" i="1" s="1"/>
  <c r="P23" i="1" s="1"/>
  <c r="AO22" i="1"/>
  <c r="AP22" i="1" s="1"/>
  <c r="AN22" i="1"/>
  <c r="M22" i="1"/>
  <c r="L22" i="1"/>
  <c r="N22" i="1" s="1"/>
  <c r="P22" i="1" s="1"/>
  <c r="AO21" i="1"/>
  <c r="AP21" i="1" s="1"/>
  <c r="AN21" i="1"/>
  <c r="M21" i="1"/>
  <c r="L21" i="1"/>
  <c r="N21" i="1" s="1"/>
  <c r="P21" i="1" s="1"/>
  <c r="AO20" i="1"/>
  <c r="AP20" i="1" s="1"/>
  <c r="AN20" i="1"/>
  <c r="M20" i="1"/>
  <c r="L20" i="1"/>
  <c r="AO19" i="1"/>
  <c r="AP19" i="1" s="1"/>
  <c r="AN19" i="1"/>
  <c r="M19" i="1"/>
  <c r="L19" i="1"/>
  <c r="N19" i="1" s="1"/>
  <c r="P19" i="1" s="1"/>
  <c r="AO18" i="1"/>
  <c r="AP18" i="1" s="1"/>
  <c r="AN18" i="1"/>
  <c r="M18" i="1"/>
  <c r="L18" i="1"/>
  <c r="N18" i="1" s="1"/>
  <c r="P18" i="1" s="1"/>
  <c r="AO17" i="1"/>
  <c r="AP17" i="1" s="1"/>
  <c r="AN17" i="1"/>
  <c r="N17" i="1"/>
  <c r="P17" i="1" s="1"/>
  <c r="M17" i="1"/>
  <c r="L17" i="1"/>
  <c r="AO16" i="1"/>
  <c r="AP16" i="1" s="1"/>
  <c r="AN16" i="1"/>
  <c r="M16" i="1"/>
  <c r="L16" i="1"/>
  <c r="AO15" i="1"/>
  <c r="AP15" i="1" s="1"/>
  <c r="AN15" i="1"/>
  <c r="M15" i="1"/>
  <c r="L15" i="1"/>
  <c r="N15" i="1" s="1"/>
  <c r="P15" i="1" s="1"/>
  <c r="AO14" i="1"/>
  <c r="AP14" i="1" s="1"/>
  <c r="AN14" i="1"/>
  <c r="M14" i="1"/>
  <c r="L14" i="1"/>
  <c r="N14" i="1" s="1"/>
  <c r="P14" i="1" s="1"/>
  <c r="AO13" i="1"/>
  <c r="AP13" i="1" s="1"/>
  <c r="AN13" i="1"/>
  <c r="M13" i="1"/>
  <c r="L13" i="1"/>
  <c r="N13" i="1" s="1"/>
  <c r="P13" i="1" s="1"/>
  <c r="AO12" i="1"/>
  <c r="AP12" i="1" s="1"/>
  <c r="AN12" i="1"/>
  <c r="M12" i="1"/>
  <c r="L12" i="1"/>
  <c r="AO11" i="1"/>
  <c r="AP11" i="1" s="1"/>
  <c r="AN11" i="1"/>
  <c r="M11" i="1"/>
  <c r="L11" i="1"/>
  <c r="N11" i="1" s="1"/>
  <c r="P11" i="1" s="1"/>
  <c r="AO10" i="1"/>
  <c r="AP10" i="1" s="1"/>
  <c r="AN10" i="1"/>
  <c r="M10" i="1"/>
  <c r="L10" i="1"/>
  <c r="N10" i="1" s="1"/>
  <c r="P10" i="1" s="1"/>
  <c r="AO9" i="1"/>
  <c r="AP9" i="1" s="1"/>
  <c r="AN9" i="1"/>
  <c r="N9" i="1"/>
  <c r="P9" i="1" s="1"/>
  <c r="M9" i="1"/>
  <c r="L9" i="1"/>
  <c r="AO8" i="1"/>
  <c r="AP8" i="1" s="1"/>
  <c r="AN8" i="1"/>
  <c r="M8" i="1"/>
  <c r="L8" i="1"/>
  <c r="AO7" i="1"/>
  <c r="AP7" i="1" s="1"/>
  <c r="AN7" i="1"/>
  <c r="M7" i="1"/>
  <c r="L7" i="1"/>
  <c r="N7" i="1" s="1"/>
  <c r="P7" i="1" s="1"/>
  <c r="AO6" i="1"/>
  <c r="AP6" i="1" s="1"/>
  <c r="AN6" i="1"/>
  <c r="M6" i="1"/>
  <c r="L6" i="1"/>
  <c r="N6" i="1" s="1"/>
  <c r="P6" i="1" s="1"/>
  <c r="AO5" i="1"/>
  <c r="AP5" i="1" s="1"/>
  <c r="AN5" i="1"/>
  <c r="M5" i="1"/>
  <c r="L5" i="1"/>
  <c r="N5" i="1" s="1"/>
  <c r="P5" i="1" s="1"/>
  <c r="AO4" i="1"/>
  <c r="AP4" i="1" s="1"/>
  <c r="AN4" i="1"/>
  <c r="M4" i="1"/>
  <c r="L4" i="1"/>
  <c r="AO3" i="1"/>
  <c r="AP3" i="1" s="1"/>
  <c r="AN3" i="1"/>
  <c r="M3" i="1"/>
  <c r="L3" i="1"/>
  <c r="N3" i="1" s="1"/>
  <c r="P3" i="1" s="1"/>
  <c r="AO2" i="1"/>
  <c r="AP2" i="1" s="1"/>
  <c r="AN2" i="1"/>
  <c r="M2" i="1"/>
  <c r="L2" i="1"/>
  <c r="L100" i="1" s="1"/>
  <c r="A1" i="5" a="1"/>
  <c r="A1" i="5" l="1"/>
  <c r="M100" i="1"/>
  <c r="N12" i="1"/>
  <c r="P12" i="1" s="1"/>
  <c r="N20" i="1"/>
  <c r="P20" i="1" s="1"/>
  <c r="N28" i="1"/>
  <c r="P28" i="1" s="1"/>
  <c r="N36" i="1"/>
  <c r="P36" i="1" s="1"/>
  <c r="N44" i="1"/>
  <c r="P44" i="1" s="1"/>
  <c r="N52" i="1"/>
  <c r="P52" i="1" s="1"/>
  <c r="N60" i="1"/>
  <c r="P60" i="1" s="1"/>
  <c r="N69" i="1"/>
  <c r="P69" i="1" s="1"/>
  <c r="N77" i="1"/>
  <c r="P77" i="1" s="1"/>
  <c r="N85" i="1"/>
  <c r="P85" i="1" s="1"/>
  <c r="N93" i="1"/>
  <c r="P93" i="1" s="1"/>
  <c r="AN100" i="1"/>
  <c r="N8" i="1"/>
  <c r="P8" i="1" s="1"/>
  <c r="N16" i="1"/>
  <c r="P16" i="1" s="1"/>
  <c r="N24" i="1"/>
  <c r="P24" i="1" s="1"/>
  <c r="N32" i="1"/>
  <c r="P32" i="1" s="1"/>
  <c r="N40" i="1"/>
  <c r="P40" i="1" s="1"/>
  <c r="N48" i="1"/>
  <c r="P48" i="1" s="1"/>
  <c r="N56" i="1"/>
  <c r="P56" i="1" s="1"/>
  <c r="N65" i="1"/>
  <c r="P65" i="1" s="1"/>
  <c r="N73" i="1"/>
  <c r="P73" i="1" s="1"/>
  <c r="N81" i="1"/>
  <c r="P81" i="1" s="1"/>
  <c r="N89" i="1"/>
  <c r="P89" i="1" s="1"/>
  <c r="N97" i="1"/>
  <c r="P97" i="1" s="1"/>
  <c r="AP100" i="1"/>
  <c r="AO100" i="1"/>
  <c r="N4" i="1"/>
  <c r="P4" i="1" s="1"/>
  <c r="N2" i="1"/>
  <c r="P2" i="1" l="1"/>
  <c r="P100" i="1" s="1"/>
  <c r="N100" i="1"/>
  <c r="G10" i="4" l="1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9" i="4"/>
  <c r="G5" i="4"/>
  <c r="G4" i="4"/>
  <c r="G3" i="4"/>
  <c r="G2" i="4"/>
  <c r="D2" i="4"/>
  <c r="A1" i="8" a="1"/>
  <c r="A1" i="8" l="1"/>
  <c r="A1" i="9" a="1"/>
  <c r="A1" i="9" l="1"/>
  <c r="L1" i="9" a="1"/>
  <c r="A1" i="11" a="1"/>
  <c r="L1" i="9" l="1"/>
  <c r="A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Shamli .</author>
  </authors>
  <commentList>
    <comment ref="J5" authorId="0" shapeId="0" xr:uid="{3F326D96-BAAE-4B65-A1A1-67D77EF308C4}">
      <text>
        <r>
          <rPr>
            <b/>
            <sz val="9"/>
            <color indexed="81"/>
            <rFont val="Tahoma"/>
            <family val="2"/>
          </rPr>
          <t>Shamli .:</t>
        </r>
        <r>
          <rPr>
            <sz val="9"/>
            <color indexed="81"/>
            <rFont val="Tahoma"/>
            <family val="2"/>
          </rPr>
          <t xml:space="preserve">
Due to Promotion annual salary increase from ILS 648326 to 700192.08 ILS wef 1 Feb 2025</t>
        </r>
      </text>
    </comment>
    <comment ref="J11" authorId="0" shapeId="0" xr:uid="{4CD6FB6B-3FBD-4369-9760-782E9137A70F}">
      <text>
        <r>
          <rPr>
            <b/>
            <sz val="9"/>
            <color indexed="81"/>
            <rFont val="Tahoma"/>
            <family val="2"/>
          </rPr>
          <t>Shamli .:</t>
        </r>
        <r>
          <rPr>
            <sz val="9"/>
            <color indexed="81"/>
            <rFont val="Tahoma"/>
            <family val="2"/>
          </rPr>
          <t xml:space="preserve">
Due to Promotion annual salary increase from ILS 388800 to 458784 ILS wef 1 Feb 2025</t>
        </r>
      </text>
    </comment>
    <comment ref="J50" authorId="0" shapeId="0" xr:uid="{95BC58AC-ACC6-4B28-A3E1-28A0381ED9DB}">
      <text>
        <r>
          <rPr>
            <b/>
            <sz val="9"/>
            <color indexed="81"/>
            <rFont val="Tahoma"/>
            <family val="2"/>
          </rPr>
          <t>Shamli .:</t>
        </r>
        <r>
          <rPr>
            <sz val="9"/>
            <color indexed="81"/>
            <rFont val="Tahoma"/>
            <family val="2"/>
          </rPr>
          <t xml:space="preserve">
Due to Promotion annual salary increase from ILS 757418 to 818011.44
 ILS wef 1 Feb 2025</t>
        </r>
      </text>
    </comment>
    <comment ref="J84" authorId="0" shapeId="0" xr:uid="{2F17BAD0-D589-4CA1-9C70-EA1C9535772F}">
      <text>
        <r>
          <rPr>
            <b/>
            <sz val="9"/>
            <color indexed="81"/>
            <rFont val="Tahoma"/>
            <family val="2"/>
          </rPr>
          <t>Shamli .:</t>
        </r>
        <r>
          <rPr>
            <sz val="9"/>
            <color indexed="81"/>
            <rFont val="Tahoma"/>
            <family val="2"/>
          </rPr>
          <t xml:space="preserve">
Annual compensation change from ILS 85284 to ILS 113,712 w.e.f January 1, 2025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EmpID=xl(%P2%)
EmpName=xl(%P3%)
SysEmpID=xl(%P4%)
SysCode=xl(%P5%)
SysItemName=xl(%P6%)
SysValue=xl(%P7%)
MinDiff=xl(%P8%)
Client=xl(%P9%, headers=True).dropna(axis=1,how='all').dropna(axis=0,subset=EmpID)
System=xl(%P10%, headers=True).dropna(axis=1,how='all').dropna(axis=0,how='all')
SysNet=System[[SysEmpID,SysCode,SysItemName,SysValue]]
Codes=xl(%P11%, headers=True).dropna()
IgnoreCodes = xl(%P12%, headers=True).dropna(how='all')
ClientLong=pd.melt(Client, id_vars=[EmpID,EmpName], value_vars=Codes['ItemName'], var_name='ItemName')
ClientWithItemCode = ClientLong.merge (Codes, how='inner', on='ItemName')
ClientSumValue = ClientWithItemCode[[EmpID,EmpName,'Code','value']].fillna(0).groupby([EmpID,EmpName,'Code'],as_index=False).sum()
FullDB = ClientSumValue.merge(SysNet, how='outer', left_on=[EmpID,'Code'], right_on=[SysEmpID,SysCode])
CleanDB=FullDB.fillna(0)
Result=CleanDB[(abs(CleanDB["value"]-CleanDB[SysValue])&gt;MinDiff) &amp; ~(CleanDB[SysCode].isin (IgnoreCodes["Code"]))].reset_index(drop=True)
</code>
    </pythonScript>
    <pythonScript>
      <code xml:space="preserve">deductionCodes=xl(%P2%, headers=True).dropna()
DeductionData=xl(%P3%,headers=True).dropna(how="all")
DedEmp=xl(%P4%)
DedCode=xl(%P5%)
DedName=xl(%P6%)
DedValue=xl(%P7%)
DeductionNet = DeductionData[[DedEmp,DedCode,DedName,DedValue]]
ClientDeduction=pd.melt(Client, id_vars=[EmpID,EmpName], value_vars=deductionCodes['ItemName'], var_name='ItemName')
ClientDeductionWithCode = ClientDeduction.merge (deductionCodes, how='inner', on='ItemName')
FullDeductions = ClientDeductionWithCode.merge(DeductionNet, how='outer', left_on=[EmpID,'Code'], right_on=[DedEmp,DedCode])
CleanDeductions=FullDeductions.fillna(0)
CleanDeductions['SignedValue']= CleanDeductions['value'] * CleanDeductions['Sign']
MismatchDeductions=CleanDeductions[(abs(CleanDeductions["SignedValue"]-CleanDeductions[DedValue])&gt;MinDiff) &amp; (CleanDeductions[DedCode].isin(deductionCodes['Code']))].reset_index(drop=True)
</code>
    </pythonScript>
    <pythonScript>
      <code xml:space="preserve">SBCID= xl(%P2%)
ClientID=xl(%P3%)
SBCType=xl(%P4%)
EmplDetails=Client[[ClientID,EmpID,EmpName]]
SBCdata = xl(%P5%, headers=True).dropna(axis=0, how='all').dropna(axis=1, how='all')
SBCcodes=xl(%P6%, headers=True).dropna(how='all')
SBCdeductions=SBCcodes.dropna(subset='Deductions')[['InsType','Col','Deductions']]
SBCsystem=SBCcodes.dropna(subset='System')[['InsType','Col','System']]
#create a melt table with SBC data, and add replace ID with employee# and name
SBCLong=pd.melt(SBCdata, id_vars=[SBCID,SBCType], value_vars=SBCcodes['Col'], var_name='ItemName').merge(EmplDetails, how='left', left_on=SBCID, right_on=ClientID)[[EmpID,EmpName,SBCType,'ItemName','value']].fillna(0)
#summarize SBC values by system codes
SBCWithSystemCode = SBCLong.merge (SBCsystem, how='left', left_on=[SBCType,'ItemName'], right_on=['InsType','Col'])
SBCSystemSumValue = SBCWithSystemCode[[EmpID,EmpName,'System','value']].fillna(0).groupby([EmpID,EmpName,'System'],as_index=False).sum()
#summarize SBC values by Deduction codes
SBCWithDeductionCode = SBCLong.merge (SBCdeductions, how='left', left_on=[SBCType,'ItemName'], right_on=['InsType','Col'])
SBCDeductionSumValue = SBCWithDeductionCode[[EmpID,EmpName,'Deductions','value']].fillna(0).groupby([EmpID,EmpName,'Deductions'],as_index=False).sum()
#merge SBC data with System and Client data
SumDeductions = DeductionNet.groupby([DedEmp,DedCode,DedName],as_index=False).sum()
DeductionsFullDB = SBCDeductionSumValue.merge(SumDeductions, how='left', left_on=[EmpID,'Deductions'], right_on=[DedEmp,DedCode]).fillna(0)
SystemFullDB = SBCSystemSumValue.merge(SysNet, how='left', left_on=[EmpID,'System'], right_on=[SysEmpID,SysCode]).fillna(0)
SystemFullDB[(SystemFullDB['System']!=0) &amp; (abs(SystemFullDB['value']-SystemFullDB[SysValue])&gt;MinDiff)]
</code>
    </pythonScript>
    <pythonScript>
      <code>DeductionsFullDB[(DeductionsFullDB['Deductions']!=0) &amp; (abs(DeductionsFullDB['value']+DeductionsFullDB[DedValue])&gt;MinDiff)]</code>
    </pythonScript>
  </pythonScripts>
</python>
</file>

<file path=xl/sharedStrings.xml><?xml version="1.0" encoding="utf-8"?>
<sst xmlns="http://schemas.openxmlformats.org/spreadsheetml/2006/main" count="5268" uniqueCount="471">
  <si>
    <t>בס"ד</t>
  </si>
  <si>
    <t>בגליון DEDUCTIONS יש רכיבים 13 ו- 16 שאין להם ביטוי בנתוני הלקוח</t>
  </si>
  <si>
    <t>בגליון DEDUCTIONS יש רכיב 9 שמתייחס להחזרי הוצאות. בנתוני הלקוח זה רק תמורה ממכירת אופציות. צריך להבין מה עושים עם שאר החזרי ההוצאות</t>
  </si>
  <si>
    <t>בגלל שמסכמים את כל הרכיבים שיש להם אותו מספר רכיב, אז בגליון הממצאים, אין התייחסות לשםפ הרכיב בנתוני הלקוח - כיון שיש מספר רכיבים עם אותו קוד</t>
  </si>
  <si>
    <t>No.</t>
  </si>
  <si>
    <t>ID</t>
  </si>
  <si>
    <t>Z-ID</t>
  </si>
  <si>
    <t>Employee's name</t>
  </si>
  <si>
    <t>Department - Cost Centre</t>
  </si>
  <si>
    <t>Employee Class</t>
  </si>
  <si>
    <t>Employment Status</t>
  </si>
  <si>
    <t>Start date</t>
  </si>
  <si>
    <t>End  date</t>
  </si>
  <si>
    <t>New Annual salaries</t>
  </si>
  <si>
    <t>Payroll Comments</t>
  </si>
  <si>
    <t>Salary</t>
  </si>
  <si>
    <t>Global overtime</t>
  </si>
  <si>
    <t>Total - Monthly</t>
  </si>
  <si>
    <t>ESPP Contribution %</t>
  </si>
  <si>
    <t>ESPP Contribution - Amount</t>
  </si>
  <si>
    <t>ESPP Catchups for December 2024</t>
  </si>
  <si>
    <t>CEO Bonus</t>
  </si>
  <si>
    <t>Travel Allowance</t>
  </si>
  <si>
    <t>Commissions</t>
  </si>
  <si>
    <t>Phone value</t>
  </si>
  <si>
    <t>BIK- Birthday Gift (to be grossed up)</t>
  </si>
  <si>
    <t>Referral Bonus</t>
  </si>
  <si>
    <t>Salary Arrears- Aug'25 &amp; Sept'25</t>
  </si>
  <si>
    <t>Israel First Year Bonus Scheme:</t>
  </si>
  <si>
    <t>Retention Bonus</t>
  </si>
  <si>
    <t>Corporate Bonus</t>
  </si>
  <si>
    <t>BIK Health Insurance (to be grossed up)</t>
  </si>
  <si>
    <t>BIK - Mobile Reimbursment - to be grossed up</t>
  </si>
  <si>
    <t>BIK - Meals - October 2025 (EE bears the tax)</t>
  </si>
  <si>
    <t>BIK Lunch Meals- (to be grossed up) October 2025</t>
  </si>
  <si>
    <t>BIK Dinner Meals- (to be grossed up) October 2025</t>
  </si>
  <si>
    <t>BIK -Holiday Gifts- Sept 2025 (taxes borne by employer)</t>
  </si>
  <si>
    <t>Wedding Gift (need to pay and gross up)</t>
  </si>
  <si>
    <t>ESPP refunds</t>
  </si>
  <si>
    <t>Tution Reimbursement Benefit- Pay and Tax will borne by EE</t>
  </si>
  <si>
    <t>Spot Bonus- EE bears the tax</t>
  </si>
  <si>
    <t>Patent Bonus- EE bears the tax</t>
  </si>
  <si>
    <t>Standard Days</t>
  </si>
  <si>
    <t>Standard hours</t>
  </si>
  <si>
    <t>Actual working days</t>
  </si>
  <si>
    <t>Actual work hours</t>
  </si>
  <si>
    <t>Vacation days</t>
  </si>
  <si>
    <t>Sick  days</t>
  </si>
  <si>
    <t>Reserve Duty</t>
  </si>
  <si>
    <t>Advance  Payment</t>
  </si>
  <si>
    <t>Reimbursement</t>
  </si>
  <si>
    <t>Comments</t>
  </si>
  <si>
    <t>Z22252</t>
  </si>
  <si>
    <t>Leonid Geldin</t>
  </si>
  <si>
    <t>Fulltime Employee</t>
  </si>
  <si>
    <t>Active</t>
  </si>
  <si>
    <t>Z22251</t>
  </si>
  <si>
    <t>Nadav Pozmantir</t>
  </si>
  <si>
    <t>Z22256</t>
  </si>
  <si>
    <t>Ido Katz</t>
  </si>
  <si>
    <t>Z22254</t>
  </si>
  <si>
    <t>Elad Kolberg</t>
  </si>
  <si>
    <t>Z22255</t>
  </si>
  <si>
    <t>Ariel Nemtzov</t>
  </si>
  <si>
    <t>Z22260</t>
  </si>
  <si>
    <t>Danny Sabag</t>
  </si>
  <si>
    <t>Z22259</t>
  </si>
  <si>
    <t>Oz Molaim</t>
  </si>
  <si>
    <t>Z22261</t>
  </si>
  <si>
    <t>Maya Zax</t>
  </si>
  <si>
    <t>Parttime Employee 60% working position</t>
  </si>
  <si>
    <t>Z22405</t>
  </si>
  <si>
    <t xml:space="preserve">Adi Adrai </t>
  </si>
  <si>
    <t>Z22756</t>
  </si>
  <si>
    <t>Esther Shteinberg</t>
  </si>
  <si>
    <t>Z22704</t>
  </si>
  <si>
    <t xml:space="preserve">Adam Hudeda </t>
  </si>
  <si>
    <t>Z22874</t>
  </si>
  <si>
    <t>Ofer Yarom</t>
  </si>
  <si>
    <t>Z23095</t>
  </si>
  <si>
    <t>Lilach Wimisiner</t>
  </si>
  <si>
    <t>Z23096</t>
  </si>
  <si>
    <t>Dani Rubin</t>
  </si>
  <si>
    <t>Z23077</t>
  </si>
  <si>
    <t>Jonathan Assayag</t>
  </si>
  <si>
    <t>Z23336</t>
  </si>
  <si>
    <t>Gal Shvinkelstein</t>
  </si>
  <si>
    <t>Z23259</t>
  </si>
  <si>
    <t>Gal Sosin</t>
  </si>
  <si>
    <t>Z23824</t>
  </si>
  <si>
    <t>Keren Zilberman</t>
  </si>
  <si>
    <t>Z23746</t>
  </si>
  <si>
    <t>Avner Eizner</t>
  </si>
  <si>
    <t>Z24042</t>
  </si>
  <si>
    <t>Amit Bar</t>
  </si>
  <si>
    <t>Z24237</t>
  </si>
  <si>
    <t>Shoham Shimon Danino</t>
  </si>
  <si>
    <t>Z24238</t>
  </si>
  <si>
    <t>Roi Inbar</t>
  </si>
  <si>
    <t>Z24239</t>
  </si>
  <si>
    <t>Samir Dabit</t>
  </si>
  <si>
    <t>Z24467</t>
  </si>
  <si>
    <t>Noam  Yadar</t>
  </si>
  <si>
    <t>Z24243</t>
  </si>
  <si>
    <t>Eden Meyuhas</t>
  </si>
  <si>
    <t>Z25690</t>
  </si>
  <si>
    <t>Ricky Levi</t>
  </si>
  <si>
    <t>Z25692</t>
  </si>
  <si>
    <t>Elad Goren</t>
  </si>
  <si>
    <t>Z25693</t>
  </si>
  <si>
    <t>Dmitry Kulik</t>
  </si>
  <si>
    <t>Z25785</t>
  </si>
  <si>
    <t>Dor Pizem</t>
  </si>
  <si>
    <t>Z25694</t>
  </si>
  <si>
    <t>Vitaly Artemov</t>
  </si>
  <si>
    <t>Z25730</t>
  </si>
  <si>
    <t>Oleg Perah</t>
  </si>
  <si>
    <t>Z25802</t>
  </si>
  <si>
    <t>Marat Khousid</t>
  </si>
  <si>
    <t>Z25922</t>
  </si>
  <si>
    <t>Gadi Goldbarg</t>
  </si>
  <si>
    <t>Z25938</t>
  </si>
  <si>
    <t>Amir Tarkey</t>
  </si>
  <si>
    <t>Z26198</t>
  </si>
  <si>
    <t>Jon Joseba Gabilondo Angulo</t>
  </si>
  <si>
    <t>Z26199</t>
  </si>
  <si>
    <t>Eyal Lubelski</t>
  </si>
  <si>
    <t>Z26200</t>
  </si>
  <si>
    <t>Bar Zukerman</t>
  </si>
  <si>
    <t>Z26424</t>
  </si>
  <si>
    <t>Alexander Jouravski</t>
  </si>
  <si>
    <t>Z26527</t>
  </si>
  <si>
    <t>Roi Zentner</t>
  </si>
  <si>
    <t>Z26792</t>
  </si>
  <si>
    <t>Roee Gozlan</t>
  </si>
  <si>
    <t>Parttime Employee 50% working position</t>
  </si>
  <si>
    <t>Z26528</t>
  </si>
  <si>
    <t>Shahar Inbar</t>
  </si>
  <si>
    <t>Z26575</t>
  </si>
  <si>
    <t>Reuven Abramov</t>
  </si>
  <si>
    <t>Z26531</t>
  </si>
  <si>
    <t>Sagie Vachman</t>
  </si>
  <si>
    <t>Z26533</t>
  </si>
  <si>
    <t>Assaf Almaz</t>
  </si>
  <si>
    <t>Z26629</t>
  </si>
  <si>
    <t>Assaf Nir</t>
  </si>
  <si>
    <t>Z26711</t>
  </si>
  <si>
    <t>Nir Barel</t>
  </si>
  <si>
    <t>Z26721</t>
  </si>
  <si>
    <t>Ilya Rybak</t>
  </si>
  <si>
    <t>Z27233</t>
  </si>
  <si>
    <t>Guy Gurfinkel</t>
  </si>
  <si>
    <t>Z26885</t>
  </si>
  <si>
    <t>Hovav Bornstein (Chovav)</t>
  </si>
  <si>
    <t>Z26886</t>
  </si>
  <si>
    <t>Moshe Yuda</t>
  </si>
  <si>
    <t>Z27260</t>
  </si>
  <si>
    <t>Shmulik Rozenzweig</t>
  </si>
  <si>
    <t>Z26938</t>
  </si>
  <si>
    <t>Assaf Cohen</t>
  </si>
  <si>
    <t>Z27264</t>
  </si>
  <si>
    <t>Matanel Elhayani</t>
  </si>
  <si>
    <t>Z27551</t>
  </si>
  <si>
    <t>Chen Dahan</t>
  </si>
  <si>
    <t>Z27552</t>
  </si>
  <si>
    <t>Amir Hazbani</t>
  </si>
  <si>
    <t>Z28055</t>
  </si>
  <si>
    <t>Oded Aharon</t>
  </si>
  <si>
    <t>Z30392</t>
  </si>
  <si>
    <t>Omer Alon Aboudy</t>
  </si>
  <si>
    <t>Z31362</t>
  </si>
  <si>
    <t>Meir Mouly</t>
  </si>
  <si>
    <t>Z31513</t>
  </si>
  <si>
    <t>Gal Peled</t>
  </si>
  <si>
    <t>Z31214</t>
  </si>
  <si>
    <t>Alexander Kipnis</t>
  </si>
  <si>
    <t>Z31705</t>
  </si>
  <si>
    <t>Orel Shmueli</t>
  </si>
  <si>
    <t>Unpaid Leave</t>
  </si>
  <si>
    <t>Unpaid Leave from 14th Oct till 9th Dec 2025</t>
  </si>
  <si>
    <t>Z31926</t>
  </si>
  <si>
    <t>Alex Mulman</t>
  </si>
  <si>
    <t>Z31821</t>
  </si>
  <si>
    <t>Tamir Eliaz</t>
  </si>
  <si>
    <t>Z31754</t>
  </si>
  <si>
    <t>Gal Shitrit</t>
  </si>
  <si>
    <t>Z32029</t>
  </si>
  <si>
    <t>Roei Amit</t>
  </si>
  <si>
    <t>Z32526</t>
  </si>
  <si>
    <t>Danny Shacham</t>
  </si>
  <si>
    <t>Z31989</t>
  </si>
  <si>
    <t>Alex Korthny</t>
  </si>
  <si>
    <t>Z32464</t>
  </si>
  <si>
    <t>Nati Abutbul</t>
  </si>
  <si>
    <t>Z32650</t>
  </si>
  <si>
    <t>Sela Oren</t>
  </si>
  <si>
    <t>Z32871</t>
  </si>
  <si>
    <t>Elhanan Mizrahi</t>
  </si>
  <si>
    <t>Z33155</t>
  </si>
  <si>
    <t>Arik Sher</t>
  </si>
  <si>
    <t>Z33156</t>
  </si>
  <si>
    <t>Pnina Yonayov</t>
  </si>
  <si>
    <t>Z33385</t>
  </si>
  <si>
    <t>Ori Netanel Ben Zaken</t>
  </si>
  <si>
    <t>Z28401</t>
  </si>
  <si>
    <t>Alon Rosenblum</t>
  </si>
  <si>
    <t>Z28402</t>
  </si>
  <si>
    <t>Barak Haver</t>
  </si>
  <si>
    <t>Z28404</t>
  </si>
  <si>
    <t>Boris Gorin</t>
  </si>
  <si>
    <t>Z28405</t>
  </si>
  <si>
    <t>Carlos Dorin</t>
  </si>
  <si>
    <t>Z28407</t>
  </si>
  <si>
    <t>Dalia Wolf</t>
  </si>
  <si>
    <t>Z28409</t>
  </si>
  <si>
    <t>Gal Stainfeld</t>
  </si>
  <si>
    <t>Z28412</t>
  </si>
  <si>
    <t>Lee Ben David</t>
  </si>
  <si>
    <t>Z28415</t>
  </si>
  <si>
    <t>Niv Steingarten</t>
  </si>
  <si>
    <t>Z28417</t>
  </si>
  <si>
    <t>Shaked Cohen</t>
  </si>
  <si>
    <t>Z28418</t>
  </si>
  <si>
    <t>Shira Shatner</t>
  </si>
  <si>
    <t>Parttime Employee 40% working position</t>
  </si>
  <si>
    <t>Z28419</t>
  </si>
  <si>
    <t>Tal Ohayon</t>
  </si>
  <si>
    <t>Z28420</t>
  </si>
  <si>
    <t>Yuval Sadon</t>
  </si>
  <si>
    <t>Z33430</t>
  </si>
  <si>
    <t>Evgheneii Bruter</t>
  </si>
  <si>
    <t>Z33853</t>
  </si>
  <si>
    <t>Ravit Rajuan</t>
  </si>
  <si>
    <t>Z23126</t>
  </si>
  <si>
    <t>Tamir Leshetz</t>
  </si>
  <si>
    <t>Z34670</t>
  </si>
  <si>
    <t>Yuval Adar</t>
  </si>
  <si>
    <t>Z34513</t>
  </si>
  <si>
    <t>Issahar Noam Gourfinkel</t>
  </si>
  <si>
    <t>Z34866</t>
  </si>
  <si>
    <t>Anael Ester Eisenschneider Buium</t>
  </si>
  <si>
    <t>Z35164</t>
  </si>
  <si>
    <t>Vadim Gurevich</t>
  </si>
  <si>
    <t>Z36828</t>
  </si>
  <si>
    <t>Aviram Sagiv</t>
  </si>
  <si>
    <t>Z37196</t>
  </si>
  <si>
    <t>Liron Nahshon</t>
  </si>
  <si>
    <t>Z37169</t>
  </si>
  <si>
    <t>Guy Castel</t>
  </si>
  <si>
    <t>Z38899</t>
  </si>
  <si>
    <t>Barak Valzer</t>
  </si>
  <si>
    <t>Z38808</t>
  </si>
  <si>
    <t>Liat Soler</t>
  </si>
  <si>
    <t>Active, New Hire</t>
  </si>
  <si>
    <t>New Hire, No salary proration required</t>
  </si>
  <si>
    <t>שם החברה</t>
  </si>
  <si>
    <t>שנת מס</t>
  </si>
  <si>
    <t>מספר עובד</t>
  </si>
  <si>
    <t>שם העובד</t>
  </si>
  <si>
    <t>מספר חודש</t>
  </si>
  <si>
    <t>מספר רכיב</t>
  </si>
  <si>
    <t>שם רכיב שכר</t>
  </si>
  <si>
    <t>סיכום ברוטו</t>
  </si>
  <si>
    <t>סיכום כמות</t>
  </si>
  <si>
    <t>שם מחלקה</t>
  </si>
  <si>
    <t>זיסקיילר ישראל בע"מ</t>
  </si>
  <si>
    <t>גלדין לאוניד</t>
  </si>
  <si>
    <t>משכורת</t>
  </si>
  <si>
    <t>R&amp;D</t>
  </si>
  <si>
    <t>טלפון</t>
  </si>
  <si>
    <t>נסיעות</t>
  </si>
  <si>
    <t>ש.נ גלובליות</t>
  </si>
  <si>
    <t>שווי ארוחות</t>
  </si>
  <si>
    <t>פיצוי שווי</t>
  </si>
  <si>
    <t>שווי ביטוח בריאות</t>
  </si>
  <si>
    <t>זק.תגמולים</t>
  </si>
  <si>
    <t>פוזמנטיר נדב</t>
  </si>
  <si>
    <t>כץ עידו</t>
  </si>
  <si>
    <t>קולברג אלעד</t>
  </si>
  <si>
    <t>נמצוב אריאל חיים</t>
  </si>
  <si>
    <t>סבג דני</t>
  </si>
  <si>
    <t>שווי מניות פירותי</t>
  </si>
  <si>
    <t>שווי מניות הוני 25%</t>
  </si>
  <si>
    <t>מולאים עוז</t>
  </si>
  <si>
    <t>תשלום הפרש מילואים</t>
  </si>
  <si>
    <t>זקס אנטונוב מאיה</t>
  </si>
  <si>
    <t>אדרעי עדי</t>
  </si>
  <si>
    <t>שטיינברג אנה אסתר</t>
  </si>
  <si>
    <t>כודדה אדם</t>
  </si>
  <si>
    <t>ירום עפר</t>
  </si>
  <si>
    <t>וימסנר לילך</t>
  </si>
  <si>
    <t>רובין דני</t>
  </si>
  <si>
    <t>אסייג יהונתן</t>
  </si>
  <si>
    <t>לשץ תמיר</t>
  </si>
  <si>
    <t>שוינקלשטין גל</t>
  </si>
  <si>
    <t>סוסין גל</t>
  </si>
  <si>
    <t>שווי מתנה לעובד</t>
  </si>
  <si>
    <t>גולדברג קרן</t>
  </si>
  <si>
    <t>G&amp;A</t>
  </si>
  <si>
    <t>עמית בר</t>
  </si>
  <si>
    <t>אייזנר אבנר</t>
  </si>
  <si>
    <t>דנינו שהם שמעון</t>
  </si>
  <si>
    <t>בונוס חבר מביא חבר</t>
  </si>
  <si>
    <t>ענבר רועי</t>
  </si>
  <si>
    <t>דביט סמיר</t>
  </si>
  <si>
    <t>ידגר נעם</t>
  </si>
  <si>
    <t>מיוחס עדן</t>
  </si>
  <si>
    <t>פיזם דור</t>
  </si>
  <si>
    <t>ארטיומוב ויטלי</t>
  </si>
  <si>
    <t>פרח אולג</t>
  </si>
  <si>
    <t>חוסיד מרט</t>
  </si>
  <si>
    <t>לוי ריקי</t>
  </si>
  <si>
    <t>גורן אלעד</t>
  </si>
  <si>
    <t>קוליק דמיטרי</t>
  </si>
  <si>
    <t>גולדברג גדי</t>
  </si>
  <si>
    <t>טרקיי אמרה אמיר</t>
  </si>
  <si>
    <t>גבילונדו יון יוסבה</t>
  </si>
  <si>
    <t>לובלסקי אייל</t>
  </si>
  <si>
    <t>צוקרמן ברוך</t>
  </si>
  <si>
    <t xml:space="preserve"> שווי אופציות (פ)</t>
  </si>
  <si>
    <t>שווי אופציות הוני 25</t>
  </si>
  <si>
    <t>ז'ורבסקי אלכסנדר</t>
  </si>
  <si>
    <t>וכמן שגיא</t>
  </si>
  <si>
    <t>גוזלן רועי</t>
  </si>
  <si>
    <t>אלמז אסף</t>
  </si>
  <si>
    <t>ניר אסף</t>
  </si>
  <si>
    <t>אברמוב ראובן</t>
  </si>
  <si>
    <t>צנטנר רועי</t>
  </si>
  <si>
    <t>ענבר שחר</t>
  </si>
  <si>
    <t>בר אל ניר</t>
  </si>
  <si>
    <t>ריבק אליה</t>
  </si>
  <si>
    <t>גורפינקל גיא</t>
  </si>
  <si>
    <t>בורנשטיין חובב</t>
  </si>
  <si>
    <t>יודה משה</t>
  </si>
  <si>
    <t>רוזנצוייג שמואל</t>
  </si>
  <si>
    <t>כהן אסף</t>
  </si>
  <si>
    <t>אלחיאני מתנאל</t>
  </si>
  <si>
    <t>דהן חן</t>
  </si>
  <si>
    <t>חצבני אמיר</t>
  </si>
  <si>
    <t>אהרון עודד</t>
  </si>
  <si>
    <t>עבודי עומר אלון</t>
  </si>
  <si>
    <t>מולי מאיר דויד</t>
  </si>
  <si>
    <t>קיפניס אלכסנדר</t>
  </si>
  <si>
    <t>פלד גל</t>
  </si>
  <si>
    <t>מולמן אלכסנדר</t>
  </si>
  <si>
    <t>אליעז תמיר</t>
  </si>
  <si>
    <t>שיטרית גל</t>
  </si>
  <si>
    <t>קוריטני אלכסנדר</t>
  </si>
  <si>
    <t>שחם דן</t>
  </si>
  <si>
    <t>אבוטבול נתנאל</t>
  </si>
  <si>
    <t>אורן סלע ארי</t>
  </si>
  <si>
    <t>עמית רועי</t>
  </si>
  <si>
    <t>מזרחי אלחנן</t>
  </si>
  <si>
    <t>יוניוב פנינה</t>
  </si>
  <si>
    <t>שר אריאל</t>
  </si>
  <si>
    <t>בן זקן אורי נתנאל</t>
  </si>
  <si>
    <t>רוזנבלום אלון</t>
  </si>
  <si>
    <t>Product</t>
  </si>
  <si>
    <t>חבר ברק</t>
  </si>
  <si>
    <t>גורין בוריס</t>
  </si>
  <si>
    <t>דורין קארלוס</t>
  </si>
  <si>
    <t>וולף דליה</t>
  </si>
  <si>
    <t>שטיינפלד גל</t>
  </si>
  <si>
    <t>נגרי בן דוד לי</t>
  </si>
  <si>
    <t>שטינגרטן ניב</t>
  </si>
  <si>
    <t>שטנר שירה</t>
  </si>
  <si>
    <t>אוחיון טל</t>
  </si>
  <si>
    <t>סעדון יובל</t>
  </si>
  <si>
    <t>כהן שקד</t>
  </si>
  <si>
    <t>ברוטר יבגני</t>
  </si>
  <si>
    <t>רגואן רוית</t>
  </si>
  <si>
    <t>אדר יובל</t>
  </si>
  <si>
    <t>גורפינקל יששכר נועם</t>
  </si>
  <si>
    <t>אייזנשניידר בויום ענהאל אסתר</t>
  </si>
  <si>
    <t>גורביץ ודים</t>
  </si>
  <si>
    <t>סגיב אבירם</t>
  </si>
  <si>
    <t>נחשון לירון</t>
  </si>
  <si>
    <t>קסטל גיא</t>
  </si>
  <si>
    <t>ולצר ברק</t>
  </si>
  <si>
    <t>זק.השתלמות</t>
  </si>
  <si>
    <t>סולר ליאת</t>
  </si>
  <si>
    <t>customer success</t>
  </si>
  <si>
    <t>מספר שורה</t>
  </si>
  <si>
    <t>מספר ניכוי</t>
  </si>
  <si>
    <t>קוד סוג ניכוי</t>
  </si>
  <si>
    <t>שם הניכוי</t>
  </si>
  <si>
    <t>סכום הניכוי</t>
  </si>
  <si>
    <t>ש</t>
  </si>
  <si>
    <t>מקד' אופצ'</t>
  </si>
  <si>
    <t>החזר הוצ'</t>
  </si>
  <si>
    <t>מניות</t>
  </si>
  <si>
    <t>אופציות</t>
  </si>
  <si>
    <t>רביב אוראל</t>
  </si>
  <si>
    <t>מ</t>
  </si>
  <si>
    <t>מפרעה</t>
  </si>
  <si>
    <t>Employee Name</t>
  </si>
  <si>
    <t>Type</t>
  </si>
  <si>
    <t>Exercise Date</t>
  </si>
  <si>
    <t>Grant Date</t>
  </si>
  <si>
    <t xml:space="preserve">  Net gain</t>
  </si>
  <si>
    <t>C.RATE</t>
  </si>
  <si>
    <t>NetGain ILS</t>
  </si>
  <si>
    <t>Marginal Tax rate</t>
  </si>
  <si>
    <t>Capital Gain Tax Rate</t>
  </si>
  <si>
    <t>Marginal Income</t>
  </si>
  <si>
    <t>Marginal Tax</t>
  </si>
  <si>
    <t>Capital Gain Income</t>
  </si>
  <si>
    <t>Capital Tax</t>
  </si>
  <si>
    <t>Advance payment for tax deduction</t>
  </si>
  <si>
    <t>Company</t>
  </si>
  <si>
    <t>Z.ID</t>
  </si>
  <si>
    <t>תאריך עיזבה</t>
  </si>
  <si>
    <t>Aboudy, Omer Alon</t>
  </si>
  <si>
    <t>ESPP</t>
  </si>
  <si>
    <t>ZSCALER</t>
  </si>
  <si>
    <t>Aharon, Oded</t>
  </si>
  <si>
    <t>RSU</t>
  </si>
  <si>
    <t>Almaz, Assaf</t>
  </si>
  <si>
    <t>Artemov, Vitaly</t>
  </si>
  <si>
    <t>Assayag, Jonathan</t>
  </si>
  <si>
    <t>Bornstein, Hovav</t>
  </si>
  <si>
    <t>Elhayani, Matanel</t>
  </si>
  <si>
    <t>Goldbarg, Gadi</t>
  </si>
  <si>
    <t>Gorin, Boris</t>
  </si>
  <si>
    <t>Canonic</t>
  </si>
  <si>
    <t>Haver, Barak Yosef</t>
  </si>
  <si>
    <t>Inbar, Shahar</t>
  </si>
  <si>
    <t>Jouravski, Alexander</t>
  </si>
  <si>
    <t>Khousid, Marat</t>
  </si>
  <si>
    <t>Kulik, Dmitry</t>
  </si>
  <si>
    <t>Leshetz, Tamir</t>
  </si>
  <si>
    <t>Lubelski, Eyal</t>
  </si>
  <si>
    <t>Meyuhas, Eden</t>
  </si>
  <si>
    <t>Oren, Sela Ari</t>
  </si>
  <si>
    <t>Perah, Oleg</t>
  </si>
  <si>
    <t>Rosenblum, Alon</t>
  </si>
  <si>
    <t>Rozenzweig, Shmuel</t>
  </si>
  <si>
    <t>Rybak, Ilya</t>
  </si>
  <si>
    <t>Sabag, Daniel</t>
  </si>
  <si>
    <t>Shteinberg, Anna Esther</t>
  </si>
  <si>
    <t>Yadgar, Noam</t>
  </si>
  <si>
    <t>Yarom, Ofer</t>
  </si>
  <si>
    <t>Zukerman, Bar</t>
  </si>
  <si>
    <t>סה"כ דוח שכר</t>
  </si>
  <si>
    <t>עמלת העברה</t>
  </si>
  <si>
    <t>סכום סופי להעברה</t>
  </si>
  <si>
    <t>עמודת קוד עובד</t>
  </si>
  <si>
    <t>קוד עובד במערכת</t>
  </si>
  <si>
    <t>קוד עובד</t>
  </si>
  <si>
    <t>מס תז בקובץ SBC</t>
  </si>
  <si>
    <t>שם במערכת</t>
  </si>
  <si>
    <t>קוד רכיב במערכת</t>
  </si>
  <si>
    <t>עמודת קוד</t>
  </si>
  <si>
    <t>מס תז בקובץ הלקוח</t>
  </si>
  <si>
    <t>הפרש זניח בסכומים</t>
  </si>
  <si>
    <t>שם רכיב במערכת</t>
  </si>
  <si>
    <t>עמודת שם ניכוי</t>
  </si>
  <si>
    <t>סוג המרכיב</t>
  </si>
  <si>
    <t>סכום במערכת</t>
  </si>
  <si>
    <t>עמודת סכום</t>
  </si>
  <si>
    <t>רשימת קודים בקובץ לקוח</t>
  </si>
  <si>
    <t>רשימת קודי שכר לא לבדיקה</t>
  </si>
  <si>
    <t>התאמת ניכויים - רשימת קודים בקובץ לקוח</t>
  </si>
  <si>
    <t>התאמת רכיבי SBC לרכיבי שכר וניכויים</t>
  </si>
  <si>
    <t>ItemName</t>
  </si>
  <si>
    <t>Code</t>
  </si>
  <si>
    <t>Sign</t>
  </si>
  <si>
    <t>Col</t>
  </si>
  <si>
    <t>Deductions</t>
  </si>
  <si>
    <t>System</t>
  </si>
  <si>
    <t>InsType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</si>
</sst>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&quot;₪&quot;\ * #,##0.00_ ;_ &quot;₪&quot;\ * \-#,##0.00_ ;_ &quot;₪&quot;\ * &quot;-&quot;??_ ;_ @_ "/>
    <numFmt numFmtId="165" formatCode="_ * #,##0.00_ ;_ * \-#,##0.00_ ;_ * &quot;-&quot;??_ ;_ @_ "/>
    <numFmt numFmtId="166" formatCode="#;;;@"/>
    <numFmt numFmtId="167" formatCode="0;\-0;#"/>
    <numFmt numFmtId="168" formatCode="0.00;\-0.00;#"/>
    <numFmt numFmtId="169" formatCode="_-* #,##0.00_-;\-* #,##0.00_-;_-* &quot;-&quot;??_-;_-@_-"/>
    <numFmt numFmtId="170" formatCode="#,##0.00;\(#,##0.00\)"/>
    <numFmt numFmtId="171" formatCode="_-[$$-409]* #,##0.00_ ;_-[$$-409]* \-#,##0.00\ ;_-[$$-409]* &quot;-&quot;??_ ;_-@_ "/>
    <numFmt numFmtId="172" formatCode="_ [$₪-40D]\ * #,##0.00_ ;_ [$₪-40D]\ * \-#,##0.00_ ;_ [$₪-40D]\ * &quot;-&quot;??_ ;_ @_ "/>
    <numFmt numFmtId="173" formatCode="_ * #,##0.000_ ;_ * \-#,##0.000_ ;_ * &quot;-&quot;??_ ;_ @_ "/>
    <numFmt numFmtId="174" formatCode="_ * #,##0.0000_ ;_ * \-#,##0.0000_ ;_ * &quot;-&quot;??_ ;_ @_ "/>
    <numFmt numFmtId="175" formatCode="0.000"/>
  </numFmts>
  <fonts count="50" x14ac:knownFonts="1">
    <font>
      <sz val="11"/>
      <color theme="1"/>
      <name val="Aptos Narrow"/>
      <family val="2"/>
      <charset val="177"/>
      <scheme val="minor"/>
    </font>
    <font>
      <sz val="10"/>
      <name val="Arial"/>
      <family val="2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  <font>
      <sz val="11"/>
      <color theme="1"/>
      <name val="Arial"/>
      <family val="2"/>
      <charset val="177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00ADEE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u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</font>
    <font>
      <sz val="10"/>
      <color indexed="8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0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2" fillId="0" borderId="0"/>
    <xf numFmtId="0" fontId="19" fillId="0" borderId="0"/>
    <xf numFmtId="0" fontId="23" fillId="0" borderId="0"/>
    <xf numFmtId="0" fontId="24" fillId="0" borderId="0" applyNumberFormat="0" applyFill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0" applyNumberFormat="0" applyBorder="0" applyAlignment="0" applyProtection="0"/>
    <xf numFmtId="0" fontId="31" fillId="6" borderId="5" applyNumberFormat="0" applyAlignment="0" applyProtection="0"/>
    <xf numFmtId="0" fontId="32" fillId="7" borderId="6" applyNumberFormat="0" applyAlignment="0" applyProtection="0"/>
    <xf numFmtId="0" fontId="33" fillId="7" borderId="5" applyNumberFormat="0" applyAlignment="0" applyProtection="0"/>
    <xf numFmtId="0" fontId="34" fillId="0" borderId="7" applyNumberFormat="0" applyFill="0" applyAlignment="0" applyProtection="0"/>
    <xf numFmtId="0" fontId="35" fillId="8" borderId="8" applyNumberFormat="0" applyAlignment="0" applyProtection="0"/>
    <xf numFmtId="0" fontId="36" fillId="0" borderId="0" applyNumberFormat="0" applyFill="0" applyBorder="0" applyAlignment="0" applyProtection="0"/>
    <xf numFmtId="0" fontId="22" fillId="9" borderId="9" applyNumberFormat="0" applyFont="0" applyAlignment="0" applyProtection="0"/>
    <xf numFmtId="0" fontId="37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38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38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38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38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38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38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right"/>
    </xf>
    <xf numFmtId="0" fontId="21" fillId="0" borderId="12" xfId="0" applyFont="1" applyBorder="1" applyAlignment="1">
      <alignment horizontal="right"/>
    </xf>
    <xf numFmtId="0" fontId="21" fillId="0" borderId="13" xfId="0" applyFont="1" applyBorder="1" applyAlignment="1">
      <alignment horizontal="right"/>
    </xf>
    <xf numFmtId="14" fontId="43" fillId="0" borderId="1" xfId="44" applyNumberFormat="1" applyFont="1" applyFill="1" applyBorder="1" applyAlignment="1" applyProtection="1">
      <alignment horizontal="center"/>
      <protection locked="0"/>
    </xf>
    <xf numFmtId="0" fontId="42" fillId="36" borderId="16" xfId="1" applyFont="1" applyFill="1" applyBorder="1" applyAlignment="1" applyProtection="1">
      <alignment horizontal="center" vertical="center" wrapText="1"/>
      <protection locked="0"/>
    </xf>
    <xf numFmtId="0" fontId="43" fillId="0" borderId="1" xfId="0" applyFont="1" applyBorder="1" applyAlignment="1">
      <alignment horizontal="right"/>
    </xf>
    <xf numFmtId="0" fontId="42" fillId="36" borderId="16" xfId="1" applyFont="1" applyFill="1" applyBorder="1" applyAlignment="1">
      <alignment horizontal="center" vertical="center" wrapText="1"/>
    </xf>
    <xf numFmtId="165" fontId="43" fillId="34" borderId="1" xfId="44" applyFont="1" applyFill="1" applyBorder="1" applyAlignment="1" applyProtection="1">
      <alignment horizontal="center"/>
      <protection locked="0"/>
    </xf>
    <xf numFmtId="43" fontId="40" fillId="0" borderId="20" xfId="0" applyNumberFormat="1" applyFont="1" applyBorder="1"/>
    <xf numFmtId="0" fontId="40" fillId="0" borderId="1" xfId="0" applyFont="1" applyBorder="1"/>
    <xf numFmtId="165" fontId="43" fillId="0" borderId="1" xfId="100" applyFont="1" applyFill="1" applyBorder="1" applyAlignment="1" applyProtection="1">
      <protection locked="0"/>
    </xf>
    <xf numFmtId="0" fontId="43" fillId="0" borderId="1" xfId="0" applyFont="1" applyBorder="1"/>
    <xf numFmtId="169" fontId="43" fillId="37" borderId="0" xfId="1" applyNumberFormat="1" applyFont="1" applyFill="1"/>
    <xf numFmtId="169" fontId="43" fillId="0" borderId="21" xfId="1" applyNumberFormat="1" applyFont="1" applyBorder="1"/>
    <xf numFmtId="165" fontId="43" fillId="0" borderId="1" xfId="44" applyFont="1" applyFill="1" applyBorder="1" applyAlignment="1">
      <alignment horizontal="center"/>
    </xf>
    <xf numFmtId="0" fontId="42" fillId="36" borderId="17" xfId="1" applyFont="1" applyFill="1" applyBorder="1" applyAlignment="1" applyProtection="1">
      <alignment horizontal="center" vertical="center" wrapText="1"/>
      <protection locked="0"/>
    </xf>
    <xf numFmtId="169" fontId="43" fillId="37" borderId="20" xfId="1" applyNumberFormat="1" applyFont="1" applyFill="1" applyBorder="1"/>
    <xf numFmtId="165" fontId="43" fillId="0" borderId="1" xfId="44" applyFont="1" applyFill="1" applyBorder="1" applyAlignment="1" applyProtection="1">
      <alignment horizontal="center"/>
      <protection locked="0"/>
    </xf>
    <xf numFmtId="0" fontId="44" fillId="37" borderId="1" xfId="0" applyFont="1" applyFill="1" applyBorder="1" applyAlignment="1">
      <alignment horizontal="left"/>
    </xf>
    <xf numFmtId="0" fontId="42" fillId="36" borderId="0" xfId="1" applyFont="1" applyFill="1" applyAlignment="1" applyProtection="1">
      <alignment horizontal="center" vertical="center" wrapText="1"/>
      <protection locked="0"/>
    </xf>
    <xf numFmtId="3" fontId="43" fillId="37" borderId="19" xfId="0" applyNumberFormat="1" applyFont="1" applyFill="1" applyBorder="1" applyAlignment="1">
      <alignment horizontal="right"/>
    </xf>
    <xf numFmtId="0" fontId="40" fillId="0" borderId="11" xfId="0" applyFont="1" applyBorder="1"/>
    <xf numFmtId="0" fontId="40" fillId="0" borderId="29" xfId="0" applyFont="1" applyBorder="1"/>
    <xf numFmtId="3" fontId="43" fillId="0" borderId="25" xfId="0" applyNumberFormat="1" applyFont="1" applyBorder="1" applyAlignment="1">
      <alignment horizontal="right"/>
    </xf>
    <xf numFmtId="165" fontId="43" fillId="0" borderId="1" xfId="100" applyFont="1" applyFill="1" applyBorder="1"/>
    <xf numFmtId="169" fontId="43" fillId="0" borderId="23" xfId="1" applyNumberFormat="1" applyFont="1" applyBorder="1"/>
    <xf numFmtId="0" fontId="40" fillId="0" borderId="27" xfId="0" applyFont="1" applyBorder="1"/>
    <xf numFmtId="14" fontId="43" fillId="34" borderId="1" xfId="44" applyNumberFormat="1" applyFont="1" applyFill="1" applyBorder="1" applyAlignment="1" applyProtection="1">
      <alignment horizontal="center"/>
      <protection locked="0"/>
    </xf>
    <xf numFmtId="0" fontId="44" fillId="0" borderId="20" xfId="0" applyFont="1" applyBorder="1" applyAlignment="1">
      <alignment horizontal="left"/>
    </xf>
    <xf numFmtId="0" fontId="40" fillId="0" borderId="1" xfId="0" applyFont="1" applyBorder="1" applyAlignment="1">
      <alignment horizontal="right"/>
    </xf>
    <xf numFmtId="165" fontId="43" fillId="0" borderId="0" xfId="100" applyFont="1" applyFill="1" applyBorder="1" applyAlignment="1">
      <alignment horizontal="center"/>
    </xf>
    <xf numFmtId="0" fontId="40" fillId="34" borderId="1" xfId="0" applyFont="1" applyFill="1" applyBorder="1" applyAlignment="1">
      <alignment horizontal="right"/>
    </xf>
    <xf numFmtId="169" fontId="43" fillId="0" borderId="11" xfId="1" applyNumberFormat="1" applyFont="1" applyBorder="1"/>
    <xf numFmtId="43" fontId="40" fillId="37" borderId="0" xfId="0" applyNumberFormat="1" applyFont="1" applyFill="1"/>
    <xf numFmtId="165" fontId="45" fillId="0" borderId="14" xfId="100" applyFont="1" applyBorder="1"/>
    <xf numFmtId="3" fontId="43" fillId="34" borderId="1" xfId="0" applyNumberFormat="1" applyFont="1" applyFill="1" applyBorder="1" applyAlignment="1">
      <alignment horizontal="right"/>
    </xf>
    <xf numFmtId="165" fontId="43" fillId="0" borderId="11" xfId="100" applyFont="1" applyFill="1" applyBorder="1" applyAlignment="1">
      <alignment horizontal="center"/>
    </xf>
    <xf numFmtId="0" fontId="40" fillId="37" borderId="1" xfId="0" applyFont="1" applyFill="1" applyBorder="1"/>
    <xf numFmtId="14" fontId="45" fillId="0" borderId="14" xfId="44" applyNumberFormat="1" applyFont="1" applyFill="1" applyBorder="1" applyAlignment="1" applyProtection="1">
      <alignment horizontal="center"/>
      <protection locked="0"/>
    </xf>
    <xf numFmtId="165" fontId="43" fillId="0" borderId="0" xfId="44" applyFont="1" applyFill="1" applyBorder="1" applyAlignment="1" applyProtection="1">
      <alignment horizontal="center"/>
      <protection locked="0"/>
    </xf>
    <xf numFmtId="0" fontId="44" fillId="0" borderId="11" xfId="0" applyFont="1" applyBorder="1"/>
    <xf numFmtId="165" fontId="43" fillId="37" borderId="1" xfId="100" applyFont="1" applyFill="1" applyBorder="1" applyAlignment="1">
      <alignment horizontal="center"/>
    </xf>
    <xf numFmtId="0" fontId="45" fillId="0" borderId="14" xfId="0" applyFont="1" applyBorder="1"/>
    <xf numFmtId="0" fontId="44" fillId="0" borderId="11" xfId="0" applyFont="1" applyBorder="1" applyAlignment="1">
      <alignment horizontal="left"/>
    </xf>
    <xf numFmtId="0" fontId="44" fillId="0" borderId="1" xfId="0" applyFont="1" applyBorder="1"/>
    <xf numFmtId="0" fontId="44" fillId="0" borderId="1" xfId="0" applyFont="1" applyBorder="1" applyAlignment="1">
      <alignment horizontal="left"/>
    </xf>
    <xf numFmtId="0" fontId="40" fillId="0" borderId="0" xfId="0" applyFont="1" applyAlignment="1">
      <alignment vertical="center" wrapText="1"/>
    </xf>
    <xf numFmtId="3" fontId="43" fillId="0" borderId="19" xfId="0" applyNumberFormat="1" applyFont="1" applyBorder="1" applyAlignment="1">
      <alignment horizontal="right"/>
    </xf>
    <xf numFmtId="0" fontId="42" fillId="36" borderId="15" xfId="1" applyFont="1" applyFill="1" applyBorder="1" applyAlignment="1">
      <alignment horizontal="center" vertical="center" wrapText="1"/>
    </xf>
    <xf numFmtId="170" fontId="44" fillId="0" borderId="1" xfId="2" applyNumberFormat="1" applyFont="1" applyBorder="1" applyAlignment="1">
      <alignment horizontal="right" vertical="top"/>
    </xf>
    <xf numFmtId="0" fontId="45" fillId="0" borderId="20" xfId="0" applyFont="1" applyBorder="1"/>
    <xf numFmtId="0" fontId="44" fillId="0" borderId="20" xfId="0" applyFont="1" applyBorder="1"/>
    <xf numFmtId="43" fontId="40" fillId="0" borderId="0" xfId="0" applyNumberFormat="1" applyFont="1"/>
    <xf numFmtId="0" fontId="43" fillId="0" borderId="1" xfId="0" applyFont="1" applyBorder="1" applyAlignment="1">
      <alignment horizontal="left"/>
    </xf>
    <xf numFmtId="169" fontId="43" fillId="37" borderId="21" xfId="1" applyNumberFormat="1" applyFont="1" applyFill="1" applyBorder="1"/>
    <xf numFmtId="169" fontId="43" fillId="0" borderId="20" xfId="1" applyNumberFormat="1" applyFont="1" applyBorder="1"/>
    <xf numFmtId="165" fontId="43" fillId="0" borderId="1" xfId="100" applyFont="1" applyFill="1" applyBorder="1" applyAlignment="1">
      <alignment horizontal="center"/>
    </xf>
    <xf numFmtId="0" fontId="42" fillId="36" borderId="16" xfId="1" applyFont="1" applyFill="1" applyBorder="1" applyAlignment="1">
      <alignment vertical="center" wrapText="1"/>
    </xf>
    <xf numFmtId="14" fontId="43" fillId="37" borderId="1" xfId="44" applyNumberFormat="1" applyFont="1" applyFill="1" applyBorder="1" applyAlignment="1" applyProtection="1">
      <alignment horizontal="center"/>
      <protection locked="0"/>
    </xf>
    <xf numFmtId="169" fontId="43" fillId="0" borderId="0" xfId="1" applyNumberFormat="1" applyFont="1"/>
    <xf numFmtId="0" fontId="43" fillId="37" borderId="1" xfId="0" applyFont="1" applyFill="1" applyBorder="1" applyAlignment="1">
      <alignment horizontal="right"/>
    </xf>
    <xf numFmtId="0" fontId="40" fillId="0" borderId="0" xfId="0" applyFont="1"/>
    <xf numFmtId="0" fontId="42" fillId="36" borderId="18" xfId="1" applyFont="1" applyFill="1" applyBorder="1" applyAlignment="1" applyProtection="1">
      <alignment horizontal="center" vertical="center" wrapText="1"/>
      <protection locked="0"/>
    </xf>
    <xf numFmtId="165" fontId="40" fillId="0" borderId="1" xfId="100" applyFont="1" applyFill="1" applyBorder="1"/>
    <xf numFmtId="165" fontId="43" fillId="0" borderId="11" xfId="44" applyFont="1" applyFill="1" applyBorder="1" applyAlignment="1" applyProtection="1">
      <alignment horizontal="center"/>
      <protection locked="0"/>
    </xf>
    <xf numFmtId="0" fontId="40" fillId="0" borderId="28" xfId="0" applyFont="1" applyBorder="1"/>
    <xf numFmtId="165" fontId="43" fillId="34" borderId="1" xfId="100" applyFont="1" applyFill="1" applyBorder="1"/>
    <xf numFmtId="165" fontId="43" fillId="0" borderId="24" xfId="100" applyFont="1" applyFill="1" applyBorder="1"/>
    <xf numFmtId="3" fontId="43" fillId="0" borderId="22" xfId="0" applyNumberFormat="1" applyFont="1" applyBorder="1" applyAlignment="1">
      <alignment horizontal="right"/>
    </xf>
    <xf numFmtId="165" fontId="43" fillId="0" borderId="0" xfId="44" applyFont="1" applyFill="1" applyBorder="1" applyAlignment="1">
      <alignment horizontal="center"/>
    </xf>
    <xf numFmtId="0" fontId="44" fillId="34" borderId="1" xfId="0" applyFont="1" applyFill="1" applyBorder="1" applyAlignment="1">
      <alignment horizontal="left"/>
    </xf>
    <xf numFmtId="3" fontId="43" fillId="0" borderId="1" xfId="0" applyNumberFormat="1" applyFont="1" applyBorder="1" applyAlignment="1">
      <alignment horizontal="right"/>
    </xf>
    <xf numFmtId="0" fontId="40" fillId="37" borderId="0" xfId="0" applyFont="1" applyFill="1"/>
    <xf numFmtId="165" fontId="43" fillId="0" borderId="25" xfId="44" applyFont="1" applyFill="1" applyBorder="1" applyAlignment="1" applyProtection="1">
      <alignment horizontal="center"/>
      <protection locked="0"/>
    </xf>
    <xf numFmtId="0" fontId="40" fillId="34" borderId="1" xfId="0" applyFont="1" applyFill="1" applyBorder="1"/>
    <xf numFmtId="0" fontId="43" fillId="0" borderId="11" xfId="0" applyFont="1" applyBorder="1" applyAlignment="1">
      <alignment horizontal="right"/>
    </xf>
    <xf numFmtId="0" fontId="40" fillId="37" borderId="20" xfId="0" applyFont="1" applyFill="1" applyBorder="1"/>
    <xf numFmtId="14" fontId="45" fillId="0" borderId="26" xfId="1" applyNumberFormat="1" applyFont="1" applyBorder="1"/>
    <xf numFmtId="165" fontId="43" fillId="0" borderId="1" xfId="100" applyFont="1" applyBorder="1"/>
    <xf numFmtId="14" fontId="43" fillId="0" borderId="11" xfId="44" applyNumberFormat="1" applyFont="1" applyFill="1" applyBorder="1" applyAlignment="1" applyProtection="1">
      <alignment horizontal="center"/>
      <protection locked="0"/>
    </xf>
    <xf numFmtId="165" fontId="43" fillId="37" borderId="1" xfId="44" applyFont="1" applyFill="1" applyBorder="1" applyAlignment="1">
      <alignment horizontal="center"/>
    </xf>
    <xf numFmtId="0" fontId="45" fillId="0" borderId="14" xfId="0" applyFont="1" applyBorder="1" applyAlignment="1">
      <alignment horizontal="left"/>
    </xf>
    <xf numFmtId="165" fontId="43" fillId="0" borderId="11" xfId="100" applyFont="1" applyFill="1" applyBorder="1"/>
    <xf numFmtId="0" fontId="40" fillId="0" borderId="11" xfId="0" applyFont="1" applyBorder="1" applyAlignment="1">
      <alignment horizontal="right"/>
    </xf>
    <xf numFmtId="165" fontId="43" fillId="37" borderId="1" xfId="44" applyFont="1" applyFill="1" applyBorder="1" applyAlignment="1" applyProtection="1">
      <alignment horizontal="center"/>
      <protection locked="0"/>
    </xf>
    <xf numFmtId="0" fontId="45" fillId="0" borderId="14" xfId="0" applyFont="1" applyBorder="1" applyAlignment="1">
      <alignment horizontal="right"/>
    </xf>
    <xf numFmtId="3" fontId="43" fillId="0" borderId="14" xfId="0" applyNumberFormat="1" applyFont="1" applyBorder="1" applyAlignment="1">
      <alignment horizontal="right"/>
    </xf>
    <xf numFmtId="0" fontId="40" fillId="0" borderId="23" xfId="0" applyFont="1" applyBorder="1"/>
    <xf numFmtId="0" fontId="40" fillId="0" borderId="20" xfId="0" applyFont="1" applyBorder="1"/>
    <xf numFmtId="0" fontId="43" fillId="0" borderId="0" xfId="0" applyFont="1"/>
    <xf numFmtId="166" fontId="20" fillId="0" borderId="0" xfId="0" applyNumberFormat="1" applyFont="1" applyAlignment="1">
      <alignment horizontal="right"/>
    </xf>
    <xf numFmtId="167" fontId="20" fillId="0" borderId="0" xfId="0" applyNumberFormat="1" applyFont="1" applyAlignment="1">
      <alignment horizontal="right"/>
    </xf>
    <xf numFmtId="168" fontId="20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5" fontId="40" fillId="0" borderId="28" xfId="100" applyFont="1" applyBorder="1"/>
    <xf numFmtId="169" fontId="43" fillId="0" borderId="30" xfId="1" applyNumberFormat="1" applyFont="1" applyBorder="1"/>
    <xf numFmtId="165" fontId="41" fillId="0" borderId="28" xfId="100" applyFont="1" applyBorder="1"/>
    <xf numFmtId="165" fontId="40" fillId="0" borderId="0" xfId="100" applyFont="1"/>
    <xf numFmtId="169" fontId="40" fillId="0" borderId="0" xfId="0" applyNumberFormat="1" applyFont="1"/>
    <xf numFmtId="43" fontId="41" fillId="0" borderId="0" xfId="0" applyNumberFormat="1" applyFont="1"/>
    <xf numFmtId="0" fontId="44" fillId="0" borderId="0" xfId="0" applyFont="1" applyAlignment="1">
      <alignment vertical="top" wrapText="1"/>
    </xf>
    <xf numFmtId="0" fontId="44" fillId="0" borderId="0" xfId="0" applyFont="1" applyAlignment="1">
      <alignment vertical="top"/>
    </xf>
    <xf numFmtId="0" fontId="44" fillId="0" borderId="0" xfId="0" applyFont="1" applyAlignment="1">
      <alignment horizontal="right" vertical="top"/>
    </xf>
    <xf numFmtId="17" fontId="40" fillId="0" borderId="0" xfId="0" applyNumberFormat="1" applyFont="1"/>
    <xf numFmtId="0" fontId="44" fillId="0" borderId="0" xfId="2" applyFont="1" applyAlignment="1">
      <alignment vertical="top"/>
    </xf>
    <xf numFmtId="0" fontId="44" fillId="0" borderId="0" xfId="2" applyFont="1" applyAlignment="1">
      <alignment horizontal="right" vertical="top"/>
    </xf>
    <xf numFmtId="0" fontId="43" fillId="0" borderId="0" xfId="2" applyFont="1"/>
    <xf numFmtId="0" fontId="44" fillId="0" borderId="0" xfId="0" applyFont="1" applyAlignment="1">
      <alignment horizontal="left" vertical="top"/>
    </xf>
    <xf numFmtId="0" fontId="42" fillId="2" borderId="16" xfId="1" applyFont="1" applyFill="1" applyBorder="1" applyAlignment="1">
      <alignment horizontal="center" vertical="center" wrapText="1"/>
    </xf>
    <xf numFmtId="0" fontId="42" fillId="38" borderId="16" xfId="1" applyFont="1" applyFill="1" applyBorder="1" applyAlignment="1">
      <alignment horizontal="center" vertical="center" wrapText="1"/>
    </xf>
    <xf numFmtId="0" fontId="48" fillId="39" borderId="1" xfId="0" applyFont="1" applyFill="1" applyBorder="1" applyAlignment="1">
      <alignment horizontal="center" vertical="center"/>
    </xf>
    <xf numFmtId="14" fontId="48" fillId="39" borderId="1" xfId="0" applyNumberFormat="1" applyFont="1" applyFill="1" applyBorder="1" applyAlignment="1">
      <alignment horizontal="center" vertical="center"/>
    </xf>
    <xf numFmtId="171" fontId="0" fillId="0" borderId="1" xfId="0" applyNumberFormat="1" applyBorder="1"/>
    <xf numFmtId="172" fontId="48" fillId="40" borderId="1" xfId="0" applyNumberFormat="1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172" fontId="48" fillId="39" borderId="1" xfId="0" applyNumberFormat="1" applyFont="1" applyFill="1" applyBorder="1" applyAlignment="1">
      <alignment horizontal="center" vertical="center"/>
    </xf>
    <xf numFmtId="172" fontId="48" fillId="41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1" xfId="0" applyBorder="1"/>
    <xf numFmtId="0" fontId="49" fillId="0" borderId="1" xfId="0" applyFont="1" applyBorder="1" applyAlignment="1" applyProtection="1">
      <alignment horizontal="center"/>
      <protection locked="0"/>
    </xf>
    <xf numFmtId="14" fontId="0" fillId="0" borderId="1" xfId="0" applyNumberFormat="1" applyBorder="1"/>
    <xf numFmtId="164" fontId="0" fillId="0" borderId="1" xfId="108" applyFont="1" applyFill="1" applyBorder="1"/>
    <xf numFmtId="10" fontId="0" fillId="0" borderId="1" xfId="109" applyNumberFormat="1" applyFont="1" applyFill="1" applyBorder="1"/>
    <xf numFmtId="9" fontId="0" fillId="0" borderId="1" xfId="109" applyFont="1" applyFill="1" applyBorder="1"/>
    <xf numFmtId="172" fontId="49" fillId="0" borderId="1" xfId="0" applyNumberFormat="1" applyFont="1" applyBorder="1" applyAlignment="1" applyProtection="1">
      <alignment horizontal="center"/>
      <protection locked="0"/>
    </xf>
    <xf numFmtId="14" fontId="49" fillId="0" borderId="1" xfId="0" applyNumberFormat="1" applyFont="1" applyBorder="1" applyAlignment="1" applyProtection="1">
      <alignment horizontal="center"/>
      <protection locked="0"/>
    </xf>
    <xf numFmtId="0" fontId="49" fillId="0" borderId="0" xfId="0" applyFont="1" applyAlignment="1" applyProtection="1">
      <alignment horizontal="center"/>
      <protection locked="0"/>
    </xf>
    <xf numFmtId="14" fontId="0" fillId="0" borderId="0" xfId="0" applyNumberFormat="1"/>
    <xf numFmtId="171" fontId="0" fillId="0" borderId="0" xfId="0" applyNumberFormat="1"/>
    <xf numFmtId="164" fontId="0" fillId="0" borderId="0" xfId="108" applyFont="1" applyFill="1" applyBorder="1"/>
    <xf numFmtId="10" fontId="0" fillId="0" borderId="0" xfId="109" applyNumberFormat="1" applyFont="1" applyFill="1" applyBorder="1"/>
    <xf numFmtId="9" fontId="0" fillId="0" borderId="0" xfId="109" applyFont="1" applyFill="1" applyBorder="1"/>
    <xf numFmtId="172" fontId="49" fillId="0" borderId="0" xfId="0" applyNumberFormat="1" applyFont="1" applyAlignment="1" applyProtection="1">
      <alignment horizontal="center"/>
      <protection locked="0"/>
    </xf>
    <xf numFmtId="14" fontId="49" fillId="0" borderId="0" xfId="0" applyNumberFormat="1" applyFont="1" applyAlignment="1" applyProtection="1">
      <alignment horizontal="center"/>
      <protection locked="0"/>
    </xf>
    <xf numFmtId="164" fontId="0" fillId="0" borderId="0" xfId="0" applyNumberFormat="1"/>
    <xf numFmtId="0" fontId="0" fillId="0" borderId="31" xfId="0" applyBorder="1" applyAlignment="1">
      <alignment horizontal="right"/>
    </xf>
    <xf numFmtId="0" fontId="0" fillId="0" borderId="32" xfId="0" applyBorder="1"/>
    <xf numFmtId="0" fontId="0" fillId="0" borderId="34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37" xfId="0" applyBorder="1"/>
    <xf numFmtId="0" fontId="0" fillId="0" borderId="37" xfId="0" applyBorder="1" applyAlignment="1">
      <alignment horizontal="right"/>
    </xf>
    <xf numFmtId="165" fontId="0" fillId="0" borderId="0" xfId="100" applyFont="1"/>
    <xf numFmtId="0" fontId="20" fillId="0" borderId="0" xfId="0" applyFont="1"/>
    <xf numFmtId="165" fontId="20" fillId="0" borderId="0" xfId="100" applyFont="1"/>
    <xf numFmtId="0" fontId="20" fillId="3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173" fontId="0" fillId="0" borderId="0" xfId="100" applyNumberFormat="1" applyFont="1"/>
    <xf numFmtId="174" fontId="0" fillId="0" borderId="0" xfId="100" applyNumberFormat="1" applyFont="1"/>
    <xf numFmtId="173" fontId="20" fillId="0" borderId="0" xfId="100" applyNumberFormat="1" applyFont="1" applyAlignment="1">
      <alignment horizontal="right"/>
    </xf>
    <xf numFmtId="173" fontId="0" fillId="0" borderId="0" xfId="100" applyNumberFormat="1" applyFont="1" applyAlignment="1">
      <alignment horizontal="right"/>
    </xf>
    <xf numFmtId="0" fontId="20" fillId="35" borderId="1" xfId="0" applyFont="1" applyFill="1" applyBorder="1" applyAlignment="1">
      <alignment horizontal="center"/>
    </xf>
    <xf numFmtId="0" fontId="21" fillId="42" borderId="12" xfId="0" applyFont="1" applyFill="1" applyBorder="1" applyAlignment="1">
      <alignment horizontal="right"/>
    </xf>
    <xf numFmtId="0" fontId="21" fillId="42" borderId="13" xfId="0" applyFont="1" applyFill="1" applyBorder="1" applyAlignment="1">
      <alignment horizontal="right"/>
    </xf>
    <xf numFmtId="0" fontId="0" fillId="42" borderId="0" xfId="0" applyFill="1"/>
    <xf numFmtId="0" fontId="21" fillId="42" borderId="1" xfId="0" applyFont="1" applyFill="1" applyBorder="1" applyAlignment="1">
      <alignment horizontal="right"/>
    </xf>
    <xf numFmtId="0" fontId="0" fillId="42" borderId="32" xfId="0" applyFill="1" applyBorder="1"/>
    <xf numFmtId="174" fontId="0" fillId="42" borderId="0" xfId="100" applyNumberFormat="1" applyFont="1" applyFill="1" applyBorder="1"/>
    <xf numFmtId="0" fontId="0" fillId="42" borderId="37" xfId="0" applyFill="1" applyBorder="1"/>
    <xf numFmtId="0" fontId="0" fillId="42" borderId="33" xfId="0" applyFill="1" applyBorder="1"/>
    <xf numFmtId="0" fontId="0" fillId="42" borderId="35" xfId="0" applyFill="1" applyBorder="1"/>
    <xf numFmtId="0" fontId="0" fillId="42" borderId="38" xfId="0" applyFill="1" applyBorder="1"/>
    <xf numFmtId="165" fontId="20" fillId="0" borderId="0" xfId="100" applyFont="1" applyAlignment="1">
      <alignment horizontal="right"/>
    </xf>
    <xf numFmtId="165" fontId="0" fillId="0" borderId="0" xfId="100" applyFont="1" applyAlignment="1">
      <alignment horizontal="right"/>
    </xf>
    <xf numFmtId="0" fontId="20" fillId="35" borderId="0" xfId="0" applyFont="1" applyFill="1" applyAlignment="1">
      <alignment horizontal="center"/>
    </xf>
    <xf numFmtId="0" fontId="0" fillId="35" borderId="1" xfId="0" applyFill="1" applyBorder="1" applyAlignment="1">
      <alignment horizontal="center"/>
    </xf>
    <xf numFmtId="175" fontId="0" fillId="0" borderId="0" xfId="0" applyNumberFormat="1"/>
  </cellXfs>
  <cellStyles count="110">
    <cellStyle name="20% - Accent1" xfId="21" builtinId="30" customBuiltin="1"/>
    <cellStyle name="20% - Accent1 2" xfId="74" xr:uid="{AA713535-138D-474C-AC2F-7AF7A3B641F5}"/>
    <cellStyle name="20% - Accent2" xfId="25" builtinId="34" customBuiltin="1"/>
    <cellStyle name="20% - Accent2 2" xfId="78" xr:uid="{15B9D2FE-2E83-4418-B571-B9677355DC6D}"/>
    <cellStyle name="20% - Accent3" xfId="29" builtinId="38" customBuiltin="1"/>
    <cellStyle name="20% - Accent3 2" xfId="82" xr:uid="{CB05E6DF-3943-4CA0-808D-416169C084B8}"/>
    <cellStyle name="20% - Accent4" xfId="33" builtinId="42" customBuiltin="1"/>
    <cellStyle name="20% - Accent4 2" xfId="86" xr:uid="{18CA5238-2A9A-4674-86BF-F9C77C27FC0C}"/>
    <cellStyle name="20% - Accent5" xfId="37" builtinId="46" customBuiltin="1"/>
    <cellStyle name="20% - Accent5 2" xfId="90" xr:uid="{4B65F74C-4813-4C30-97BF-319ECD20373F}"/>
    <cellStyle name="20% - Accent6" xfId="41" builtinId="50" customBuiltin="1"/>
    <cellStyle name="20% - Accent6 2" xfId="94" xr:uid="{328E3B4A-3CA0-4D87-9D86-E712606FDFF3}"/>
    <cellStyle name="40% - Accent1" xfId="22" builtinId="31" customBuiltin="1"/>
    <cellStyle name="40% - Accent1 2" xfId="75" xr:uid="{7E4B84C3-FD66-41C3-A371-183F1235CCAD}"/>
    <cellStyle name="40% - Accent2" xfId="26" builtinId="35" customBuiltin="1"/>
    <cellStyle name="40% - Accent2 2" xfId="79" xr:uid="{EB745EEC-0D5D-4F24-94F1-115C8AF50979}"/>
    <cellStyle name="40% - Accent3" xfId="30" builtinId="39" customBuiltin="1"/>
    <cellStyle name="40% - Accent3 2" xfId="83" xr:uid="{F7AC9278-FD45-46F5-93CD-A29BA97CEEC7}"/>
    <cellStyle name="40% - Accent4" xfId="34" builtinId="43" customBuiltin="1"/>
    <cellStyle name="40% - Accent4 2" xfId="87" xr:uid="{F58765AB-AB61-4089-9F69-12932C89764F}"/>
    <cellStyle name="40% - Accent5" xfId="38" builtinId="47" customBuiltin="1"/>
    <cellStyle name="40% - Accent5 2" xfId="91" xr:uid="{A684CB83-021C-439B-94B9-E069CA07D5C2}"/>
    <cellStyle name="40% - Accent6" xfId="42" builtinId="51" customBuiltin="1"/>
    <cellStyle name="40% - Accent6 2" xfId="95" xr:uid="{CF189853-A6BC-4096-BCE7-E7D24C654849}"/>
    <cellStyle name="60% - Accent1" xfId="23" builtinId="32" customBuiltin="1"/>
    <cellStyle name="60% - Accent1 2" xfId="76" xr:uid="{8D296E79-FD08-41D8-9F68-9BA7B12B28AB}"/>
    <cellStyle name="60% - Accent2" xfId="27" builtinId="36" customBuiltin="1"/>
    <cellStyle name="60% - Accent2 2" xfId="80" xr:uid="{4BFC385F-8DD3-4E0D-B0DE-E1B333124D07}"/>
    <cellStyle name="60% - Accent3" xfId="31" builtinId="40" customBuiltin="1"/>
    <cellStyle name="60% - Accent3 2" xfId="84" xr:uid="{424BD28B-977E-4AA1-9479-5209D06EC4C5}"/>
    <cellStyle name="60% - Accent4" xfId="35" builtinId="44" customBuiltin="1"/>
    <cellStyle name="60% - Accent4 2" xfId="88" xr:uid="{889CD0B9-678E-4719-B341-EB6B33AFD204}"/>
    <cellStyle name="60% - Accent5" xfId="39" builtinId="48" customBuiltin="1"/>
    <cellStyle name="60% - Accent5 2" xfId="92" xr:uid="{A07FF489-0EA9-4D58-B97F-5C130F23A92D}"/>
    <cellStyle name="60% - Accent6" xfId="43" builtinId="52" customBuiltin="1"/>
    <cellStyle name="60% - Accent6 2" xfId="96" xr:uid="{BFFAD70B-BF53-4341-A408-B815FC1F8BE8}"/>
    <cellStyle name="Accent1" xfId="20" builtinId="29" customBuiltin="1"/>
    <cellStyle name="Accent1 2" xfId="73" xr:uid="{8A1D7B68-68DC-4DE3-833E-E36A4A377D3C}"/>
    <cellStyle name="Accent2" xfId="24" builtinId="33" customBuiltin="1"/>
    <cellStyle name="Accent2 2" xfId="77" xr:uid="{5417F681-D5D5-4AD1-BA95-D532DF77A5DB}"/>
    <cellStyle name="Accent3" xfId="28" builtinId="37" customBuiltin="1"/>
    <cellStyle name="Accent3 2" xfId="81" xr:uid="{84976C2B-53D6-47CE-8889-24B8ABC2A631}"/>
    <cellStyle name="Accent4" xfId="32" builtinId="41" customBuiltin="1"/>
    <cellStyle name="Accent4 2" xfId="85" xr:uid="{46AE71E2-003B-47CE-A3F2-9FE82FECFFA9}"/>
    <cellStyle name="Accent5" xfId="36" builtinId="45" customBuiltin="1"/>
    <cellStyle name="Accent5 2" xfId="89" xr:uid="{4A8680BD-A254-46AF-816D-4621A9AF457B}"/>
    <cellStyle name="Accent6" xfId="40" builtinId="49" customBuiltin="1"/>
    <cellStyle name="Accent6 2" xfId="93" xr:uid="{0791DF6D-98DC-411C-92AA-003185ECE7B0}"/>
    <cellStyle name="Bad" xfId="9" builtinId="27" customBuiltin="1"/>
    <cellStyle name="Bad 2" xfId="62" xr:uid="{5DDA20C6-BF45-47FD-8862-82B5349F1875}"/>
    <cellStyle name="Calculation" xfId="13" builtinId="22" customBuiltin="1"/>
    <cellStyle name="Calculation 2" xfId="66" xr:uid="{E19535ED-CB2C-449E-8EE4-CFC25C5F5FCE}"/>
    <cellStyle name="Check Cell" xfId="15" builtinId="23" customBuiltin="1"/>
    <cellStyle name="Check Cell 2" xfId="68" xr:uid="{A3FB924C-0DAB-44F4-A9C4-DC0F1151C7A8}"/>
    <cellStyle name="Comma" xfId="100" builtinId="3"/>
    <cellStyle name="Comma 2" xfId="45" xr:uid="{0991274A-47F5-4DDA-B26D-A60F503DD3B9}"/>
    <cellStyle name="Comma 2 2" xfId="49" xr:uid="{6119C672-5DD9-499F-9BE3-62137285C60D}"/>
    <cellStyle name="Comma 2 2 2" xfId="103" xr:uid="{2FF90A7D-D918-4B51-977D-1E4B14B1AE45}"/>
    <cellStyle name="Comma 2 3" xfId="50" xr:uid="{974BDA14-A10F-4281-A0DF-9474F31ED57F}"/>
    <cellStyle name="Comma 2 3 2" xfId="104" xr:uid="{D5B46183-86B3-41DB-A24B-32CB571C8F9C}"/>
    <cellStyle name="Comma 2 4" xfId="51" xr:uid="{7EB612E1-8A31-46B2-809F-EA59B88F788F}"/>
    <cellStyle name="Comma 2 4 2" xfId="105" xr:uid="{62EFA4E4-24F4-4D6A-8DF0-08A67E9B6C16}"/>
    <cellStyle name="Comma 2 5" xfId="52" xr:uid="{DCEB1FAE-AB76-45E8-ACE6-6DD5FA7699DC}"/>
    <cellStyle name="Comma 2 5 2" xfId="106" xr:uid="{E9ACC3AE-7494-4149-861A-CD02B0B869ED}"/>
    <cellStyle name="Comma 2 6" xfId="101" xr:uid="{2333E674-01D0-43F4-A297-5BAF13754A81}"/>
    <cellStyle name="Comma 3" xfId="46" xr:uid="{95BDEC2A-9658-46FC-BB73-1524CCB13D77}"/>
    <cellStyle name="Comma 3 2" xfId="102" xr:uid="{60328FC3-43E8-42E9-A1BC-B86C8BB19098}"/>
    <cellStyle name="Comma 4" xfId="99" xr:uid="{D2FC67C4-D3D4-4682-8159-DAA02A6F8B30}"/>
    <cellStyle name="Comma 5" xfId="107" xr:uid="{81170A09-6105-4399-A0F1-784A4803A65E}"/>
    <cellStyle name="Comma_Sheet1" xfId="44" xr:uid="{87DB9460-85BD-452C-A08B-D71E7D2B2B7A}"/>
    <cellStyle name="Currency" xfId="108" builtinId="4"/>
    <cellStyle name="Explanatory Text" xfId="18" builtinId="53" customBuiltin="1"/>
    <cellStyle name="Explanatory Text 2" xfId="71" xr:uid="{4E345126-57E3-404A-99B1-5CA35AC34DE5}"/>
    <cellStyle name="Followed Hyperlink" xfId="98" builtinId="9" customBuiltin="1"/>
    <cellStyle name="Good" xfId="8" builtinId="26" customBuiltin="1"/>
    <cellStyle name="Good 2" xfId="61" xr:uid="{85E8F937-35A2-429B-BF91-0D58D9F8524B}"/>
    <cellStyle name="Heading 1" xfId="4" builtinId="16" customBuiltin="1"/>
    <cellStyle name="Heading 1 2" xfId="57" xr:uid="{78344787-6BFD-44DC-BD1F-EFCEBF5B5734}"/>
    <cellStyle name="Heading 2" xfId="5" builtinId="17" customBuiltin="1"/>
    <cellStyle name="Heading 2 2" xfId="58" xr:uid="{7F127FF9-04B2-48BD-85E7-34B1E666C658}"/>
    <cellStyle name="Heading 3" xfId="6" builtinId="18" customBuiltin="1"/>
    <cellStyle name="Heading 3 2" xfId="59" xr:uid="{2E888678-F0B1-4CED-8ED7-ED5D05CB2511}"/>
    <cellStyle name="Heading 4" xfId="7" builtinId="19" customBuiltin="1"/>
    <cellStyle name="Heading 4 2" xfId="60" xr:uid="{D448DDC9-E094-4671-8631-D078AB2C1F2A}"/>
    <cellStyle name="Hyperlink" xfId="97" builtinId="8" customBuiltin="1"/>
    <cellStyle name="Input" xfId="11" builtinId="20" customBuiltin="1"/>
    <cellStyle name="Input 2" xfId="64" xr:uid="{211CCEBE-6ECB-48F5-B7F8-AF26774B1CA2}"/>
    <cellStyle name="Linked Cell" xfId="14" builtinId="24" customBuiltin="1"/>
    <cellStyle name="Linked Cell 2" xfId="67" xr:uid="{B17B71DF-C8B2-4F71-B8B7-688CFE7E5624}"/>
    <cellStyle name="Neutral" xfId="10" builtinId="28" customBuiltin="1"/>
    <cellStyle name="Neutral 2" xfId="63" xr:uid="{3C96E001-5E0F-473A-A092-34A3A51BE994}"/>
    <cellStyle name="Normal" xfId="0" builtinId="0"/>
    <cellStyle name="Normal 15" xfId="53" xr:uid="{F646894F-A357-446D-AF3C-EC449469993D}"/>
    <cellStyle name="Normal 2" xfId="2" xr:uid="{D29789DA-CB69-4C9F-9577-4BDC909F68EB}"/>
    <cellStyle name="Normal 2 2" xfId="55" xr:uid="{0DC2EE3F-4B3E-466B-81EC-027462BFDA23}"/>
    <cellStyle name="Normal 2 3" xfId="54" xr:uid="{1B437A32-C0FA-4FF1-B03E-778F1A2A26AD}"/>
    <cellStyle name="Normal 2 4" xfId="48" xr:uid="{9A3EDA80-23EB-4328-A213-B33BCB485E35}"/>
    <cellStyle name="Normal 3" xfId="47" xr:uid="{1D852AB5-C1C7-4B07-AE1C-B02EE82ED50A}"/>
    <cellStyle name="Normal_Sheet1" xfId="1" xr:uid="{528C0FCC-7036-4099-BCFC-59C53D948806}"/>
    <cellStyle name="Note" xfId="17" builtinId="10" customBuiltin="1"/>
    <cellStyle name="Note 2" xfId="70" xr:uid="{EE0C7147-1F99-41A7-A447-0EC0314A5E23}"/>
    <cellStyle name="Output" xfId="12" builtinId="21" customBuiltin="1"/>
    <cellStyle name="Output 2" xfId="65" xr:uid="{6C66352B-D3E5-4F57-8746-9E66DBA58648}"/>
    <cellStyle name="Percent" xfId="109" builtinId="5"/>
    <cellStyle name="Title" xfId="3" builtinId="15" customBuiltin="1"/>
    <cellStyle name="Title 2" xfId="56" xr:uid="{CCD1B3A0-2568-49CB-A49F-85C74720DD3E}"/>
    <cellStyle name="Total" xfId="19" builtinId="25" customBuiltin="1"/>
    <cellStyle name="Total 2" xfId="72" xr:uid="{C57E1534-9AFD-4329-8C04-7F83E5DCFCD5}"/>
    <cellStyle name="Warning Text" xfId="16" builtinId="11" customBuiltin="1"/>
    <cellStyle name="Warning Text 2" xfId="69" xr:uid="{06B4FFC2-9A50-4306-8AF2-78C8C993A9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6606-A9E2-47DD-A1F7-681F5DA7F14C}">
  <dimension ref="A1:B6"/>
  <sheetViews>
    <sheetView rightToLeft="1"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t="s">
        <v>0</v>
      </c>
    </row>
    <row r="4" spans="1:2" x14ac:dyDescent="0.2">
      <c r="A4">
        <v>1</v>
      </c>
      <c r="B4" t="s">
        <v>1</v>
      </c>
    </row>
    <row r="5" spans="1:2" x14ac:dyDescent="0.2">
      <c r="A5">
        <v>2</v>
      </c>
      <c r="B5" t="s">
        <v>2</v>
      </c>
    </row>
    <row r="6" spans="1:2" x14ac:dyDescent="0.2">
      <c r="A6">
        <v>3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DE95-1840-427D-92EE-366A117CFBF4}">
  <dimension ref="A1:AY112"/>
  <sheetViews>
    <sheetView rightToLeft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5" sqref="D45"/>
    </sheetView>
  </sheetViews>
  <sheetFormatPr baseColWidth="10" defaultColWidth="9.1640625" defaultRowHeight="12" x14ac:dyDescent="0.15"/>
  <cols>
    <col min="1" max="1" width="5.33203125" style="62" customWidth="1"/>
    <col min="2" max="3" width="10.83203125" style="62" customWidth="1"/>
    <col min="4" max="4" width="18.1640625" style="62" customWidth="1"/>
    <col min="5" max="7" width="11" style="62" customWidth="1"/>
    <col min="8" max="9" width="11.1640625" style="62" customWidth="1"/>
    <col min="10" max="10" width="15.83203125" style="62" customWidth="1"/>
    <col min="11" max="11" width="11.1640625" style="62" customWidth="1"/>
    <col min="12" max="12" width="13.5" style="62" customWidth="1"/>
    <col min="13" max="13" width="12.83203125" style="62" customWidth="1"/>
    <col min="14" max="14" width="13.1640625" style="62" customWidth="1"/>
    <col min="15" max="15" width="8.5" style="62" customWidth="1"/>
    <col min="16" max="16" width="12.1640625" style="62" customWidth="1"/>
    <col min="17" max="17" width="10.33203125" style="62" hidden="1" customWidth="1"/>
    <col min="18" max="18" width="15.1640625" style="62" hidden="1" customWidth="1"/>
    <col min="19" max="19" width="18.33203125" style="62" customWidth="1"/>
    <col min="20" max="20" width="11.1640625" style="62" hidden="1" customWidth="1"/>
    <col min="21" max="21" width="10" style="62" hidden="1" customWidth="1"/>
    <col min="22" max="22" width="10" style="62" customWidth="1"/>
    <col min="23" max="23" width="9.83203125" style="62" customWidth="1"/>
    <col min="24" max="24" width="10.83203125" style="62" hidden="1" customWidth="1"/>
    <col min="25" max="25" width="11" style="62" hidden="1" customWidth="1"/>
    <col min="26" max="26" width="8.33203125" style="62" hidden="1" customWidth="1"/>
    <col min="27" max="27" width="13.1640625" style="62" hidden="1" customWidth="1"/>
    <col min="28" max="28" width="13.1640625" style="62" customWidth="1"/>
    <col min="29" max="29" width="20" style="62" customWidth="1"/>
    <col min="30" max="30" width="10.5" style="62" customWidth="1"/>
    <col min="31" max="31" width="14.83203125" style="62" hidden="1" customWidth="1"/>
    <col min="32" max="32" width="14.83203125" style="62" customWidth="1"/>
    <col min="33" max="34" width="14.83203125" style="62" hidden="1" customWidth="1"/>
    <col min="35" max="35" width="10.5" style="62" hidden="1" customWidth="1"/>
    <col min="36" max="38" width="11" style="62" hidden="1" customWidth="1"/>
    <col min="39" max="39" width="9.5" style="62" customWidth="1"/>
    <col min="40" max="40" width="10.5" style="62" customWidth="1"/>
    <col min="41" max="41" width="9.33203125" style="62" customWidth="1"/>
    <col min="42" max="43" width="10.5" style="62" customWidth="1"/>
    <col min="44" max="44" width="10.1640625" style="62" customWidth="1"/>
    <col min="45" max="45" width="12" style="62" hidden="1" customWidth="1"/>
    <col min="46" max="46" width="11.1640625" style="62" hidden="1" customWidth="1"/>
    <col min="47" max="47" width="13.5" style="90" bestFit="1" customWidth="1"/>
    <col min="48" max="48" width="20.83203125" style="62" customWidth="1"/>
    <col min="49" max="16384" width="9.1640625" style="62"/>
  </cols>
  <sheetData>
    <row r="1" spans="1:49" s="47" customFormat="1" ht="40" customHeight="1" x14ac:dyDescent="0.2">
      <c r="A1" s="49" t="s">
        <v>4</v>
      </c>
      <c r="B1" s="7" t="s">
        <v>5</v>
      </c>
      <c r="C1" s="7" t="s">
        <v>6</v>
      </c>
      <c r="D1" s="58" t="s">
        <v>7</v>
      </c>
      <c r="E1" s="58" t="s">
        <v>8</v>
      </c>
      <c r="F1" s="58" t="s">
        <v>9</v>
      </c>
      <c r="G1" s="58" t="s">
        <v>10</v>
      </c>
      <c r="H1" s="7" t="s">
        <v>11</v>
      </c>
      <c r="I1" s="16" t="s">
        <v>12</v>
      </c>
      <c r="J1" s="63" t="s">
        <v>13</v>
      </c>
      <c r="K1" s="20" t="s">
        <v>14</v>
      </c>
      <c r="L1" s="111" t="s">
        <v>15</v>
      </c>
      <c r="M1" s="111" t="s">
        <v>16</v>
      </c>
      <c r="N1" s="7" t="s">
        <v>17</v>
      </c>
      <c r="O1" s="112" t="s">
        <v>18</v>
      </c>
      <c r="P1" s="111" t="s">
        <v>19</v>
      </c>
      <c r="Q1" s="7" t="s">
        <v>20</v>
      </c>
      <c r="R1" s="7" t="s">
        <v>21</v>
      </c>
      <c r="S1" s="111" t="s">
        <v>22</v>
      </c>
      <c r="T1" s="7" t="s">
        <v>23</v>
      </c>
      <c r="U1" s="7" t="s">
        <v>24</v>
      </c>
      <c r="V1" s="111" t="s">
        <v>25</v>
      </c>
      <c r="W1" s="111" t="s">
        <v>26</v>
      </c>
      <c r="X1" s="7" t="s">
        <v>27</v>
      </c>
      <c r="Y1" s="7" t="s">
        <v>28</v>
      </c>
      <c r="Z1" s="7" t="s">
        <v>29</v>
      </c>
      <c r="AA1" s="7" t="s">
        <v>30</v>
      </c>
      <c r="AB1" s="111" t="s">
        <v>31</v>
      </c>
      <c r="AC1" s="111" t="s">
        <v>32</v>
      </c>
      <c r="AD1" s="111" t="s">
        <v>33</v>
      </c>
      <c r="AE1" s="7" t="s">
        <v>34</v>
      </c>
      <c r="AF1" s="111" t="s">
        <v>35</v>
      </c>
      <c r="AG1" s="7" t="s">
        <v>36</v>
      </c>
      <c r="AH1" s="7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43</v>
      </c>
      <c r="AO1" s="7" t="s">
        <v>44</v>
      </c>
      <c r="AP1" s="7" t="s">
        <v>45</v>
      </c>
      <c r="AQ1" s="7" t="s">
        <v>46</v>
      </c>
      <c r="AR1" s="7" t="s">
        <v>47</v>
      </c>
      <c r="AS1" s="5" t="s">
        <v>48</v>
      </c>
      <c r="AT1" s="5" t="s">
        <v>49</v>
      </c>
      <c r="AU1" s="112" t="s">
        <v>50</v>
      </c>
      <c r="AV1" s="7" t="s">
        <v>51</v>
      </c>
    </row>
    <row r="2" spans="1:49" x14ac:dyDescent="0.15">
      <c r="A2" s="48">
        <v>4</v>
      </c>
      <c r="B2" s="6">
        <v>306689712</v>
      </c>
      <c r="C2" s="6" t="s">
        <v>52</v>
      </c>
      <c r="D2" s="46" t="s">
        <v>53</v>
      </c>
      <c r="E2" s="46">
        <v>2450</v>
      </c>
      <c r="F2" s="46" t="s">
        <v>54</v>
      </c>
      <c r="G2" s="46" t="s">
        <v>55</v>
      </c>
      <c r="H2" s="4">
        <v>43788</v>
      </c>
      <c r="I2" s="56"/>
      <c r="J2" s="14">
        <v>630230.22</v>
      </c>
      <c r="K2" s="60"/>
      <c r="L2" s="18">
        <f t="shared" ref="L2:L61" si="0">J2/12*70%</f>
        <v>36763.429499999998</v>
      </c>
      <c r="M2" s="18">
        <f t="shared" ref="M2:M61" si="1">J2/12*30%</f>
        <v>15755.755499999999</v>
      </c>
      <c r="N2" s="18">
        <f>SUM(L2:M2)</f>
        <v>52519.184999999998</v>
      </c>
      <c r="O2" s="18">
        <v>15</v>
      </c>
      <c r="P2" s="18">
        <f>(N2+W2+X2+AA2+T2+R2)*O2%</f>
        <v>7877.8777499999997</v>
      </c>
      <c r="Q2" s="18"/>
      <c r="R2" s="18"/>
      <c r="S2" s="18">
        <v>315</v>
      </c>
      <c r="T2" s="18"/>
      <c r="U2" s="18"/>
      <c r="V2" s="18">
        <v>0</v>
      </c>
      <c r="W2" s="18"/>
      <c r="X2" s="18"/>
      <c r="Y2" s="18"/>
      <c r="Z2" s="18"/>
      <c r="AA2" s="18"/>
      <c r="AB2" s="18">
        <v>154</v>
      </c>
      <c r="AC2" s="18">
        <v>115</v>
      </c>
      <c r="AD2" s="18">
        <v>1000</v>
      </c>
      <c r="AE2" s="18"/>
      <c r="AF2" s="18"/>
      <c r="AG2" s="18"/>
      <c r="AH2" s="18"/>
      <c r="AI2" s="57"/>
      <c r="AJ2" s="15"/>
      <c r="AK2" s="18"/>
      <c r="AL2" s="15"/>
      <c r="AM2" s="18">
        <v>21</v>
      </c>
      <c r="AN2" s="18">
        <f t="shared" ref="AN2:AN65" si="2">AM2*8.4</f>
        <v>176.4</v>
      </c>
      <c r="AO2" s="18">
        <f t="shared" ref="AO2:AO65" si="3">AM2-AQ2-AR2</f>
        <v>19.5</v>
      </c>
      <c r="AP2" s="18">
        <f t="shared" ref="AP2:AP65" si="4">AO2*8.4</f>
        <v>163.80000000000001</v>
      </c>
      <c r="AQ2" s="18">
        <v>1.5</v>
      </c>
      <c r="AR2" s="18">
        <v>0</v>
      </c>
      <c r="AS2" s="18"/>
      <c r="AT2" s="18"/>
      <c r="AU2" s="18">
        <v>1580</v>
      </c>
      <c r="AV2" s="89"/>
      <c r="AW2" s="53"/>
    </row>
    <row r="3" spans="1:49" x14ac:dyDescent="0.15">
      <c r="A3" s="48">
        <v>6</v>
      </c>
      <c r="B3" s="6">
        <v>32655482</v>
      </c>
      <c r="C3" s="6" t="s">
        <v>56</v>
      </c>
      <c r="D3" s="46" t="s">
        <v>57</v>
      </c>
      <c r="E3" s="46">
        <v>2410</v>
      </c>
      <c r="F3" s="46" t="s">
        <v>54</v>
      </c>
      <c r="G3" s="46" t="s">
        <v>55</v>
      </c>
      <c r="H3" s="4">
        <v>43905</v>
      </c>
      <c r="I3" s="56"/>
      <c r="J3" s="14">
        <v>625007</v>
      </c>
      <c r="K3" s="60"/>
      <c r="L3" s="18">
        <f t="shared" si="0"/>
        <v>36458.741666666661</v>
      </c>
      <c r="M3" s="18">
        <f t="shared" si="1"/>
        <v>15625.174999999999</v>
      </c>
      <c r="N3" s="18">
        <f t="shared" ref="N3:N24" si="5">SUM(L3:M3)</f>
        <v>52083.916666666657</v>
      </c>
      <c r="O3" s="18">
        <v>15</v>
      </c>
      <c r="P3" s="18">
        <f t="shared" ref="P3:P66" si="6">(N3+W3+X3+AA3+T3+R3)*O3%</f>
        <v>7812.5874999999978</v>
      </c>
      <c r="Q3" s="18"/>
      <c r="R3" s="18"/>
      <c r="S3" s="18">
        <v>315</v>
      </c>
      <c r="T3" s="18"/>
      <c r="U3" s="18"/>
      <c r="V3" s="18">
        <v>0</v>
      </c>
      <c r="W3" s="18"/>
      <c r="X3" s="18"/>
      <c r="Y3" s="18"/>
      <c r="Z3" s="18"/>
      <c r="AA3" s="18"/>
      <c r="AB3" s="18">
        <v>154</v>
      </c>
      <c r="AC3" s="18">
        <v>115</v>
      </c>
      <c r="AD3" s="18">
        <v>1000</v>
      </c>
      <c r="AE3" s="18"/>
      <c r="AF3" s="18"/>
      <c r="AG3" s="18"/>
      <c r="AH3" s="18"/>
      <c r="AI3" s="57"/>
      <c r="AJ3" s="15"/>
      <c r="AK3" s="18"/>
      <c r="AL3" s="15"/>
      <c r="AM3" s="18">
        <v>21</v>
      </c>
      <c r="AN3" s="18">
        <f t="shared" si="2"/>
        <v>176.4</v>
      </c>
      <c r="AO3" s="18">
        <f t="shared" si="3"/>
        <v>8</v>
      </c>
      <c r="AP3" s="18">
        <f>AO3*8.4</f>
        <v>67.2</v>
      </c>
      <c r="AQ3" s="18">
        <v>3</v>
      </c>
      <c r="AR3" s="18">
        <v>10</v>
      </c>
      <c r="AS3" s="18"/>
      <c r="AT3" s="11"/>
      <c r="AU3" s="18"/>
      <c r="AV3" s="52"/>
      <c r="AW3" s="53"/>
    </row>
    <row r="4" spans="1:49" x14ac:dyDescent="0.15">
      <c r="A4" s="48">
        <v>8</v>
      </c>
      <c r="B4" s="6">
        <v>65965949</v>
      </c>
      <c r="C4" s="6" t="s">
        <v>58</v>
      </c>
      <c r="D4" s="46" t="s">
        <v>59</v>
      </c>
      <c r="E4" s="46">
        <v>2410</v>
      </c>
      <c r="F4" s="46" t="s">
        <v>54</v>
      </c>
      <c r="G4" s="46" t="s">
        <v>55</v>
      </c>
      <c r="H4" s="4">
        <v>44005</v>
      </c>
      <c r="I4" s="56"/>
      <c r="J4" s="14">
        <v>612002.66</v>
      </c>
      <c r="K4" s="60"/>
      <c r="L4" s="18">
        <f t="shared" si="0"/>
        <v>35700.155166666671</v>
      </c>
      <c r="M4" s="18">
        <f t="shared" si="1"/>
        <v>15300.066500000001</v>
      </c>
      <c r="N4" s="18">
        <f t="shared" si="5"/>
        <v>51000.221666666672</v>
      </c>
      <c r="O4" s="18">
        <v>15</v>
      </c>
      <c r="P4" s="18">
        <f t="shared" si="6"/>
        <v>7650.0332500000004</v>
      </c>
      <c r="Q4" s="18"/>
      <c r="R4" s="18"/>
      <c r="S4" s="18">
        <v>315</v>
      </c>
      <c r="T4" s="18"/>
      <c r="U4" s="18"/>
      <c r="V4" s="18">
        <v>0</v>
      </c>
      <c r="W4" s="18"/>
      <c r="X4" s="18"/>
      <c r="Y4" s="18"/>
      <c r="Z4" s="18"/>
      <c r="AA4" s="18"/>
      <c r="AB4" s="18">
        <v>154</v>
      </c>
      <c r="AC4" s="18">
        <v>115</v>
      </c>
      <c r="AD4" s="18">
        <v>1000</v>
      </c>
      <c r="AE4" s="18"/>
      <c r="AF4" s="18"/>
      <c r="AG4" s="18"/>
      <c r="AH4" s="18"/>
      <c r="AI4" s="57"/>
      <c r="AJ4" s="15"/>
      <c r="AK4" s="18"/>
      <c r="AL4" s="15"/>
      <c r="AM4" s="18">
        <v>21</v>
      </c>
      <c r="AN4" s="18">
        <f t="shared" si="2"/>
        <v>176.4</v>
      </c>
      <c r="AO4" s="18">
        <f t="shared" si="3"/>
        <v>19</v>
      </c>
      <c r="AP4" s="18">
        <f t="shared" si="4"/>
        <v>159.6</v>
      </c>
      <c r="AQ4" s="18">
        <v>0</v>
      </c>
      <c r="AR4" s="18">
        <v>2</v>
      </c>
      <c r="AS4" s="18"/>
      <c r="AT4" s="11"/>
      <c r="AU4" s="18">
        <v>1860</v>
      </c>
      <c r="AV4" s="89"/>
      <c r="AW4" s="53"/>
    </row>
    <row r="5" spans="1:49" x14ac:dyDescent="0.15">
      <c r="A5" s="48">
        <v>11</v>
      </c>
      <c r="B5" s="6">
        <v>35699578</v>
      </c>
      <c r="C5" s="6" t="s">
        <v>60</v>
      </c>
      <c r="D5" s="46" t="s">
        <v>61</v>
      </c>
      <c r="E5" s="46">
        <v>2885</v>
      </c>
      <c r="F5" s="46" t="s">
        <v>54</v>
      </c>
      <c r="G5" s="46" t="s">
        <v>55</v>
      </c>
      <c r="H5" s="4">
        <v>44087</v>
      </c>
      <c r="I5" s="56"/>
      <c r="J5" s="14">
        <v>735201.69</v>
      </c>
      <c r="K5" s="60"/>
      <c r="L5" s="18">
        <f t="shared" si="0"/>
        <v>42886.765249999997</v>
      </c>
      <c r="M5" s="18">
        <f t="shared" si="1"/>
        <v>18380.042249999999</v>
      </c>
      <c r="N5" s="18">
        <f t="shared" si="5"/>
        <v>61266.807499999995</v>
      </c>
      <c r="O5" s="18">
        <v>10</v>
      </c>
      <c r="P5" s="18">
        <f t="shared" si="6"/>
        <v>6126.6807499999995</v>
      </c>
      <c r="Q5" s="18"/>
      <c r="R5" s="18"/>
      <c r="S5" s="18">
        <v>315</v>
      </c>
      <c r="T5" s="18"/>
      <c r="U5" s="18"/>
      <c r="V5" s="18">
        <v>0</v>
      </c>
      <c r="W5" s="18"/>
      <c r="X5" s="18"/>
      <c r="Y5" s="18"/>
      <c r="Z5" s="18"/>
      <c r="AA5" s="18"/>
      <c r="AB5" s="18">
        <v>154</v>
      </c>
      <c r="AC5" s="18">
        <v>115</v>
      </c>
      <c r="AD5" s="18">
        <v>1000</v>
      </c>
      <c r="AE5" s="18"/>
      <c r="AF5" s="18"/>
      <c r="AG5" s="18"/>
      <c r="AH5" s="18"/>
      <c r="AI5" s="57"/>
      <c r="AJ5" s="15"/>
      <c r="AK5" s="18"/>
      <c r="AL5" s="15"/>
      <c r="AM5" s="18">
        <v>21</v>
      </c>
      <c r="AN5" s="18">
        <f t="shared" si="2"/>
        <v>176.4</v>
      </c>
      <c r="AO5" s="18">
        <f t="shared" si="3"/>
        <v>20</v>
      </c>
      <c r="AP5" s="18">
        <f t="shared" si="4"/>
        <v>168</v>
      </c>
      <c r="AQ5" s="18">
        <v>0</v>
      </c>
      <c r="AR5" s="18">
        <v>1</v>
      </c>
      <c r="AS5" s="18"/>
      <c r="AT5" s="11"/>
      <c r="AU5" s="18"/>
      <c r="AV5" s="89"/>
      <c r="AW5" s="53"/>
    </row>
    <row r="6" spans="1:49" x14ac:dyDescent="0.15">
      <c r="A6" s="48">
        <v>12</v>
      </c>
      <c r="B6" s="6">
        <v>39997325</v>
      </c>
      <c r="C6" s="6" t="s">
        <v>62</v>
      </c>
      <c r="D6" s="46" t="s">
        <v>63</v>
      </c>
      <c r="E6" s="46">
        <v>2410</v>
      </c>
      <c r="F6" s="46" t="s">
        <v>54</v>
      </c>
      <c r="G6" s="46" t="s">
        <v>55</v>
      </c>
      <c r="H6" s="4">
        <v>44087</v>
      </c>
      <c r="I6" s="56"/>
      <c r="J6" s="14">
        <v>555531</v>
      </c>
      <c r="K6" s="60"/>
      <c r="L6" s="18">
        <f t="shared" si="0"/>
        <v>32405.974999999999</v>
      </c>
      <c r="M6" s="18">
        <f t="shared" si="1"/>
        <v>13888.275</v>
      </c>
      <c r="N6" s="18">
        <f t="shared" si="5"/>
        <v>46294.25</v>
      </c>
      <c r="O6" s="18">
        <v>15</v>
      </c>
      <c r="P6" s="18">
        <f t="shared" si="6"/>
        <v>6944.1374999999998</v>
      </c>
      <c r="Q6" s="18"/>
      <c r="R6" s="18"/>
      <c r="S6" s="18">
        <v>315</v>
      </c>
      <c r="T6" s="18"/>
      <c r="U6" s="18"/>
      <c r="V6" s="18">
        <v>0</v>
      </c>
      <c r="W6" s="18"/>
      <c r="X6" s="18"/>
      <c r="Y6" s="18"/>
      <c r="Z6" s="18"/>
      <c r="AA6" s="18"/>
      <c r="AB6" s="18">
        <v>154</v>
      </c>
      <c r="AC6" s="18">
        <v>115</v>
      </c>
      <c r="AD6" s="18">
        <v>1000</v>
      </c>
      <c r="AE6" s="18"/>
      <c r="AF6" s="18"/>
      <c r="AG6" s="18"/>
      <c r="AH6" s="18"/>
      <c r="AI6" s="57"/>
      <c r="AJ6" s="15"/>
      <c r="AK6" s="18"/>
      <c r="AL6" s="15"/>
      <c r="AM6" s="18">
        <v>21</v>
      </c>
      <c r="AN6" s="18">
        <f t="shared" si="2"/>
        <v>176.4</v>
      </c>
      <c r="AO6" s="18">
        <f t="shared" si="3"/>
        <v>20</v>
      </c>
      <c r="AP6" s="18">
        <f t="shared" si="4"/>
        <v>168</v>
      </c>
      <c r="AQ6" s="18">
        <v>0</v>
      </c>
      <c r="AR6" s="18">
        <v>1</v>
      </c>
      <c r="AS6" s="18"/>
      <c r="AT6" s="11"/>
      <c r="AU6" s="18">
        <v>391</v>
      </c>
      <c r="AV6" s="89"/>
      <c r="AW6" s="53"/>
    </row>
    <row r="7" spans="1:49" x14ac:dyDescent="0.15">
      <c r="A7" s="48">
        <v>14</v>
      </c>
      <c r="B7" s="6">
        <v>38075941</v>
      </c>
      <c r="C7" s="6" t="s">
        <v>64</v>
      </c>
      <c r="D7" s="46" t="s">
        <v>65</v>
      </c>
      <c r="E7" s="46">
        <v>2410</v>
      </c>
      <c r="F7" s="46" t="s">
        <v>54</v>
      </c>
      <c r="G7" s="46" t="s">
        <v>55</v>
      </c>
      <c r="H7" s="4">
        <v>44122</v>
      </c>
      <c r="I7" s="56"/>
      <c r="J7" s="14">
        <v>546551</v>
      </c>
      <c r="K7" s="60"/>
      <c r="L7" s="18">
        <f t="shared" si="0"/>
        <v>31882.141666666663</v>
      </c>
      <c r="M7" s="18">
        <f t="shared" si="1"/>
        <v>13663.775</v>
      </c>
      <c r="N7" s="18">
        <f t="shared" si="5"/>
        <v>45545.916666666664</v>
      </c>
      <c r="O7" s="18">
        <v>8</v>
      </c>
      <c r="P7" s="18">
        <f t="shared" si="6"/>
        <v>3643.6733333333332</v>
      </c>
      <c r="Q7" s="18"/>
      <c r="R7" s="18"/>
      <c r="S7" s="18">
        <v>315</v>
      </c>
      <c r="T7" s="18"/>
      <c r="U7" s="18"/>
      <c r="V7" s="18">
        <v>0</v>
      </c>
      <c r="W7" s="18"/>
      <c r="X7" s="18"/>
      <c r="Y7" s="18"/>
      <c r="Z7" s="18"/>
      <c r="AA7" s="18"/>
      <c r="AB7" s="18">
        <v>154</v>
      </c>
      <c r="AC7" s="18">
        <v>115</v>
      </c>
      <c r="AD7" s="18">
        <v>999.96</v>
      </c>
      <c r="AE7" s="18"/>
      <c r="AF7" s="18"/>
      <c r="AG7" s="18"/>
      <c r="AH7" s="18"/>
      <c r="AI7" s="57"/>
      <c r="AJ7" s="15"/>
      <c r="AK7" s="18"/>
      <c r="AL7" s="15"/>
      <c r="AM7" s="18">
        <v>21</v>
      </c>
      <c r="AN7" s="18">
        <f t="shared" si="2"/>
        <v>176.4</v>
      </c>
      <c r="AO7" s="18">
        <f t="shared" si="3"/>
        <v>21</v>
      </c>
      <c r="AP7" s="18">
        <f t="shared" si="4"/>
        <v>176.4</v>
      </c>
      <c r="AQ7" s="18">
        <v>0</v>
      </c>
      <c r="AR7" s="18">
        <v>0</v>
      </c>
      <c r="AS7" s="18"/>
      <c r="AT7" s="11"/>
      <c r="AU7" s="18">
        <v>208</v>
      </c>
      <c r="AV7" s="89"/>
      <c r="AW7" s="53"/>
    </row>
    <row r="8" spans="1:49" x14ac:dyDescent="0.15">
      <c r="A8" s="48">
        <v>15</v>
      </c>
      <c r="B8" s="6">
        <v>66713272</v>
      </c>
      <c r="C8" s="6" t="s">
        <v>66</v>
      </c>
      <c r="D8" s="46" t="s">
        <v>67</v>
      </c>
      <c r="E8" s="46">
        <v>2410</v>
      </c>
      <c r="F8" s="46" t="s">
        <v>54</v>
      </c>
      <c r="G8" s="46" t="s">
        <v>55</v>
      </c>
      <c r="H8" s="4">
        <v>44130</v>
      </c>
      <c r="I8" s="56"/>
      <c r="J8" s="14">
        <v>530201</v>
      </c>
      <c r="K8" s="60"/>
      <c r="L8" s="18">
        <f t="shared" si="0"/>
        <v>30928.391666666663</v>
      </c>
      <c r="M8" s="18">
        <f t="shared" si="1"/>
        <v>13255.025</v>
      </c>
      <c r="N8" s="18">
        <f t="shared" si="5"/>
        <v>44183.416666666664</v>
      </c>
      <c r="O8" s="18">
        <v>15</v>
      </c>
      <c r="P8" s="18">
        <f t="shared" si="6"/>
        <v>6627.5124999999998</v>
      </c>
      <c r="Q8" s="18"/>
      <c r="R8" s="18"/>
      <c r="S8" s="18">
        <v>315</v>
      </c>
      <c r="T8" s="18"/>
      <c r="U8" s="18"/>
      <c r="V8" s="18">
        <v>0</v>
      </c>
      <c r="W8" s="18"/>
      <c r="X8" s="18"/>
      <c r="Y8" s="18"/>
      <c r="Z8" s="18"/>
      <c r="AA8" s="18"/>
      <c r="AB8" s="18">
        <v>154</v>
      </c>
      <c r="AC8" s="18">
        <v>115</v>
      </c>
      <c r="AD8" s="18">
        <v>940.5</v>
      </c>
      <c r="AE8" s="18"/>
      <c r="AF8" s="18"/>
      <c r="AG8" s="18"/>
      <c r="AH8" s="18"/>
      <c r="AI8" s="57"/>
      <c r="AJ8" s="15"/>
      <c r="AK8" s="18"/>
      <c r="AL8" s="15"/>
      <c r="AM8" s="18">
        <v>21</v>
      </c>
      <c r="AN8" s="18">
        <f t="shared" si="2"/>
        <v>176.4</v>
      </c>
      <c r="AO8" s="18">
        <f t="shared" si="3"/>
        <v>20</v>
      </c>
      <c r="AP8" s="18">
        <f t="shared" si="4"/>
        <v>168</v>
      </c>
      <c r="AQ8" s="18">
        <v>0</v>
      </c>
      <c r="AR8" s="18">
        <v>1</v>
      </c>
      <c r="AS8" s="18"/>
      <c r="AT8" s="11"/>
      <c r="AU8" s="18"/>
      <c r="AV8" s="89"/>
      <c r="AW8" s="53"/>
    </row>
    <row r="9" spans="1:49" x14ac:dyDescent="0.15">
      <c r="A9" s="48">
        <v>16</v>
      </c>
      <c r="B9" s="6">
        <v>306939349</v>
      </c>
      <c r="C9" s="6" t="s">
        <v>68</v>
      </c>
      <c r="D9" s="46" t="s">
        <v>69</v>
      </c>
      <c r="E9" s="46">
        <v>2180</v>
      </c>
      <c r="F9" s="60" t="s">
        <v>70</v>
      </c>
      <c r="G9" s="46" t="s">
        <v>55</v>
      </c>
      <c r="H9" s="4">
        <v>44164</v>
      </c>
      <c r="I9" s="56"/>
      <c r="J9" s="14">
        <v>256261.37</v>
      </c>
      <c r="K9" s="60" t="s">
        <v>70</v>
      </c>
      <c r="L9" s="18">
        <f t="shared" si="0"/>
        <v>14948.579916666666</v>
      </c>
      <c r="M9" s="18">
        <f t="shared" si="1"/>
        <v>6406.5342499999997</v>
      </c>
      <c r="N9" s="18">
        <f t="shared" si="5"/>
        <v>21355.114166666666</v>
      </c>
      <c r="O9" s="18">
        <v>0</v>
      </c>
      <c r="P9" s="18">
        <f t="shared" si="6"/>
        <v>0</v>
      </c>
      <c r="Q9" s="18"/>
      <c r="R9" s="18"/>
      <c r="S9" s="18">
        <v>315</v>
      </c>
      <c r="T9" s="18"/>
      <c r="U9" s="18"/>
      <c r="V9" s="18">
        <v>0</v>
      </c>
      <c r="W9" s="18"/>
      <c r="X9" s="18"/>
      <c r="Y9" s="18"/>
      <c r="Z9" s="18"/>
      <c r="AA9" s="18"/>
      <c r="AB9" s="18">
        <v>154</v>
      </c>
      <c r="AC9" s="18">
        <v>115</v>
      </c>
      <c r="AD9" s="18">
        <v>700</v>
      </c>
      <c r="AE9" s="18"/>
      <c r="AF9" s="18"/>
      <c r="AG9" s="18"/>
      <c r="AH9" s="18"/>
      <c r="AI9" s="57"/>
      <c r="AJ9" s="15"/>
      <c r="AK9" s="18"/>
      <c r="AL9" s="15"/>
      <c r="AM9" s="18">
        <v>21</v>
      </c>
      <c r="AN9" s="18">
        <f t="shared" si="2"/>
        <v>176.4</v>
      </c>
      <c r="AO9" s="18">
        <f t="shared" si="3"/>
        <v>21</v>
      </c>
      <c r="AP9" s="18">
        <f t="shared" si="4"/>
        <v>176.4</v>
      </c>
      <c r="AQ9" s="18">
        <v>0</v>
      </c>
      <c r="AR9" s="18">
        <v>0</v>
      </c>
      <c r="AS9" s="18"/>
      <c r="AT9" s="11"/>
      <c r="AU9" s="18"/>
      <c r="AV9" s="89"/>
      <c r="AW9" s="53"/>
    </row>
    <row r="10" spans="1:49" x14ac:dyDescent="0.15">
      <c r="A10" s="48">
        <v>17</v>
      </c>
      <c r="B10" s="6">
        <v>300123221</v>
      </c>
      <c r="C10" s="6" t="s">
        <v>71</v>
      </c>
      <c r="D10" s="46" t="s">
        <v>72</v>
      </c>
      <c r="E10" s="46">
        <v>2410</v>
      </c>
      <c r="F10" s="46" t="s">
        <v>54</v>
      </c>
      <c r="G10" s="46" t="s">
        <v>55</v>
      </c>
      <c r="H10" s="4">
        <v>44350</v>
      </c>
      <c r="I10" s="56"/>
      <c r="J10" s="14">
        <v>610388</v>
      </c>
      <c r="K10" s="60"/>
      <c r="L10" s="18">
        <f t="shared" si="0"/>
        <v>35605.96666666666</v>
      </c>
      <c r="M10" s="18">
        <f t="shared" si="1"/>
        <v>15259.699999999999</v>
      </c>
      <c r="N10" s="18">
        <f t="shared" si="5"/>
        <v>50865.666666666657</v>
      </c>
      <c r="O10" s="18">
        <v>15</v>
      </c>
      <c r="P10" s="18">
        <f t="shared" si="6"/>
        <v>7629.8499999999985</v>
      </c>
      <c r="Q10" s="18"/>
      <c r="R10" s="18"/>
      <c r="S10" s="18">
        <v>315</v>
      </c>
      <c r="T10" s="18"/>
      <c r="U10" s="18"/>
      <c r="V10" s="18">
        <v>0</v>
      </c>
      <c r="W10" s="18"/>
      <c r="X10" s="18"/>
      <c r="Y10" s="18"/>
      <c r="Z10" s="18"/>
      <c r="AA10" s="18"/>
      <c r="AB10" s="18">
        <v>154</v>
      </c>
      <c r="AC10" s="18">
        <v>115</v>
      </c>
      <c r="AD10" s="18">
        <v>738</v>
      </c>
      <c r="AE10" s="18"/>
      <c r="AF10" s="18"/>
      <c r="AG10" s="18"/>
      <c r="AH10" s="18"/>
      <c r="AI10" s="57"/>
      <c r="AJ10" s="15"/>
      <c r="AK10" s="18"/>
      <c r="AL10" s="15"/>
      <c r="AM10" s="18">
        <v>21</v>
      </c>
      <c r="AN10" s="18">
        <f t="shared" si="2"/>
        <v>176.4</v>
      </c>
      <c r="AO10" s="18">
        <f t="shared" si="3"/>
        <v>11</v>
      </c>
      <c r="AP10" s="18">
        <f t="shared" si="4"/>
        <v>92.4</v>
      </c>
      <c r="AQ10" s="18">
        <v>10</v>
      </c>
      <c r="AR10" s="18">
        <v>0</v>
      </c>
      <c r="AS10" s="18"/>
      <c r="AT10" s="11"/>
      <c r="AU10" s="18"/>
      <c r="AV10" s="89"/>
      <c r="AW10" s="53"/>
    </row>
    <row r="11" spans="1:49" x14ac:dyDescent="0.15">
      <c r="A11" s="48">
        <v>21</v>
      </c>
      <c r="B11" s="6">
        <v>332407659</v>
      </c>
      <c r="C11" s="6" t="s">
        <v>73</v>
      </c>
      <c r="D11" s="46" t="s">
        <v>74</v>
      </c>
      <c r="E11" s="46">
        <v>2180</v>
      </c>
      <c r="F11" s="46" t="s">
        <v>54</v>
      </c>
      <c r="G11" s="46" t="s">
        <v>55</v>
      </c>
      <c r="H11" s="4">
        <v>44395</v>
      </c>
      <c r="I11" s="56"/>
      <c r="J11" s="14">
        <v>486311</v>
      </c>
      <c r="K11" s="60"/>
      <c r="L11" s="18">
        <f t="shared" si="0"/>
        <v>28368.141666666663</v>
      </c>
      <c r="M11" s="18">
        <f t="shared" si="1"/>
        <v>12157.775</v>
      </c>
      <c r="N11" s="18">
        <f t="shared" si="5"/>
        <v>40525.916666666664</v>
      </c>
      <c r="O11" s="18">
        <v>15</v>
      </c>
      <c r="P11" s="18">
        <f t="shared" si="6"/>
        <v>6078.8874999999998</v>
      </c>
      <c r="Q11" s="18"/>
      <c r="R11" s="18"/>
      <c r="S11" s="18">
        <v>315</v>
      </c>
      <c r="T11" s="18"/>
      <c r="U11" s="18"/>
      <c r="V11" s="18">
        <v>0</v>
      </c>
      <c r="W11" s="18"/>
      <c r="X11" s="18"/>
      <c r="Y11" s="18"/>
      <c r="Z11" s="18"/>
      <c r="AA11" s="18"/>
      <c r="AB11" s="18">
        <v>154</v>
      </c>
      <c r="AC11" s="18">
        <v>115</v>
      </c>
      <c r="AD11" s="18">
        <v>1000</v>
      </c>
      <c r="AE11" s="18"/>
      <c r="AF11" s="18"/>
      <c r="AG11" s="18"/>
      <c r="AH11" s="18"/>
      <c r="AI11" s="57"/>
      <c r="AJ11" s="15"/>
      <c r="AK11" s="18"/>
      <c r="AL11" s="15"/>
      <c r="AM11" s="18">
        <v>21</v>
      </c>
      <c r="AN11" s="18">
        <f t="shared" si="2"/>
        <v>176.4</v>
      </c>
      <c r="AO11" s="18">
        <f t="shared" si="3"/>
        <v>8</v>
      </c>
      <c r="AP11" s="18">
        <f t="shared" si="4"/>
        <v>67.2</v>
      </c>
      <c r="AQ11" s="18">
        <v>0</v>
      </c>
      <c r="AR11" s="18">
        <v>13</v>
      </c>
      <c r="AS11" s="18"/>
      <c r="AT11" s="11"/>
      <c r="AU11" s="18"/>
      <c r="AV11" s="89"/>
      <c r="AW11" s="53"/>
    </row>
    <row r="12" spans="1:49" x14ac:dyDescent="0.15">
      <c r="A12" s="48">
        <v>22</v>
      </c>
      <c r="B12" s="6">
        <v>201570793</v>
      </c>
      <c r="C12" s="6" t="s">
        <v>75</v>
      </c>
      <c r="D12" s="46" t="s">
        <v>76</v>
      </c>
      <c r="E12" s="46">
        <v>2450</v>
      </c>
      <c r="F12" s="46" t="s">
        <v>54</v>
      </c>
      <c r="G12" s="46" t="s">
        <v>55</v>
      </c>
      <c r="H12" s="4">
        <v>44395</v>
      </c>
      <c r="I12" s="56"/>
      <c r="J12" s="14">
        <v>505167</v>
      </c>
      <c r="K12" s="60"/>
      <c r="L12" s="18">
        <f t="shared" si="0"/>
        <v>29468.074999999997</v>
      </c>
      <c r="M12" s="18">
        <f t="shared" si="1"/>
        <v>12629.174999999999</v>
      </c>
      <c r="N12" s="18">
        <f t="shared" si="5"/>
        <v>42097.25</v>
      </c>
      <c r="O12" s="18">
        <v>15</v>
      </c>
      <c r="P12" s="18">
        <f t="shared" si="6"/>
        <v>6314.5874999999996</v>
      </c>
      <c r="Q12" s="18"/>
      <c r="R12" s="18"/>
      <c r="S12" s="18">
        <v>315</v>
      </c>
      <c r="T12" s="18"/>
      <c r="U12" s="18"/>
      <c r="V12" s="18">
        <v>0</v>
      </c>
      <c r="W12" s="18"/>
      <c r="X12" s="18"/>
      <c r="Y12" s="18"/>
      <c r="Z12" s="18"/>
      <c r="AA12" s="18"/>
      <c r="AB12" s="18">
        <v>154</v>
      </c>
      <c r="AC12" s="18">
        <v>115</v>
      </c>
      <c r="AD12" s="18">
        <v>1000</v>
      </c>
      <c r="AE12" s="18"/>
      <c r="AF12" s="18"/>
      <c r="AG12" s="18"/>
      <c r="AH12" s="18"/>
      <c r="AI12" s="57"/>
      <c r="AJ12" s="15"/>
      <c r="AK12" s="18"/>
      <c r="AL12" s="15"/>
      <c r="AM12" s="18">
        <v>21</v>
      </c>
      <c r="AN12" s="18">
        <f t="shared" si="2"/>
        <v>176.4</v>
      </c>
      <c r="AO12" s="18">
        <f t="shared" si="3"/>
        <v>20</v>
      </c>
      <c r="AP12" s="18">
        <f t="shared" si="4"/>
        <v>168</v>
      </c>
      <c r="AQ12" s="18">
        <v>1</v>
      </c>
      <c r="AR12" s="18">
        <v>0</v>
      </c>
      <c r="AS12" s="18"/>
      <c r="AT12" s="11"/>
      <c r="AU12" s="18">
        <v>70</v>
      </c>
      <c r="AV12" s="89"/>
      <c r="AW12" s="53"/>
    </row>
    <row r="13" spans="1:49" x14ac:dyDescent="0.15">
      <c r="A13" s="48">
        <v>23</v>
      </c>
      <c r="B13" s="6">
        <v>27385756</v>
      </c>
      <c r="C13" s="6" t="s">
        <v>77</v>
      </c>
      <c r="D13" s="46" t="s">
        <v>78</v>
      </c>
      <c r="E13" s="46">
        <v>2540</v>
      </c>
      <c r="F13" s="46" t="s">
        <v>54</v>
      </c>
      <c r="G13" s="46" t="s">
        <v>55</v>
      </c>
      <c r="H13" s="4">
        <v>44424</v>
      </c>
      <c r="I13" s="56"/>
      <c r="J13" s="14">
        <v>779032.26</v>
      </c>
      <c r="K13" s="60"/>
      <c r="L13" s="18">
        <f t="shared" si="0"/>
        <v>45443.548499999997</v>
      </c>
      <c r="M13" s="18">
        <f t="shared" si="1"/>
        <v>19475.806499999999</v>
      </c>
      <c r="N13" s="18">
        <f t="shared" si="5"/>
        <v>64919.354999999996</v>
      </c>
      <c r="O13" s="18">
        <v>15</v>
      </c>
      <c r="P13" s="18">
        <f t="shared" si="6"/>
        <v>9737.9032499999994</v>
      </c>
      <c r="Q13" s="18"/>
      <c r="R13" s="18"/>
      <c r="S13" s="18">
        <v>315</v>
      </c>
      <c r="T13" s="18"/>
      <c r="U13" s="18"/>
      <c r="V13" s="18">
        <v>0</v>
      </c>
      <c r="W13" s="18"/>
      <c r="X13" s="18"/>
      <c r="Y13" s="18"/>
      <c r="Z13" s="18"/>
      <c r="AA13" s="18"/>
      <c r="AB13" s="18">
        <v>154</v>
      </c>
      <c r="AC13" s="18">
        <v>115</v>
      </c>
      <c r="AD13" s="18">
        <v>995.72</v>
      </c>
      <c r="AE13" s="18"/>
      <c r="AF13" s="18"/>
      <c r="AG13" s="18"/>
      <c r="AH13" s="18"/>
      <c r="AI13" s="57"/>
      <c r="AJ13" s="15"/>
      <c r="AK13" s="18"/>
      <c r="AL13" s="15"/>
      <c r="AM13" s="18">
        <v>21</v>
      </c>
      <c r="AN13" s="18">
        <f t="shared" si="2"/>
        <v>176.4</v>
      </c>
      <c r="AO13" s="18">
        <f t="shared" si="3"/>
        <v>21</v>
      </c>
      <c r="AP13" s="18">
        <f t="shared" si="4"/>
        <v>176.4</v>
      </c>
      <c r="AQ13" s="18">
        <v>0</v>
      </c>
      <c r="AR13" s="18">
        <v>0</v>
      </c>
      <c r="AS13" s="18"/>
      <c r="AT13" s="11"/>
      <c r="AU13" s="18"/>
      <c r="AV13" s="89"/>
      <c r="AW13" s="53"/>
    </row>
    <row r="14" spans="1:49" x14ac:dyDescent="0.15">
      <c r="A14" s="48">
        <v>24</v>
      </c>
      <c r="B14" s="6">
        <v>316377191</v>
      </c>
      <c r="C14" s="6" t="s">
        <v>79</v>
      </c>
      <c r="D14" s="46" t="s">
        <v>80</v>
      </c>
      <c r="E14" s="46">
        <v>2410</v>
      </c>
      <c r="F14" s="46" t="s">
        <v>54</v>
      </c>
      <c r="G14" s="46" t="s">
        <v>55</v>
      </c>
      <c r="H14" s="4">
        <v>44437</v>
      </c>
      <c r="I14" s="56"/>
      <c r="J14" s="14">
        <v>509230</v>
      </c>
      <c r="K14" s="60"/>
      <c r="L14" s="18">
        <f t="shared" si="0"/>
        <v>29705.083333333332</v>
      </c>
      <c r="M14" s="18">
        <f t="shared" si="1"/>
        <v>12730.75</v>
      </c>
      <c r="N14" s="18">
        <f t="shared" si="5"/>
        <v>42435.833333333328</v>
      </c>
      <c r="O14" s="18">
        <v>15</v>
      </c>
      <c r="P14" s="18">
        <f t="shared" si="6"/>
        <v>6365.3749999999991</v>
      </c>
      <c r="Q14" s="18"/>
      <c r="R14" s="18"/>
      <c r="S14" s="18">
        <v>315</v>
      </c>
      <c r="T14" s="18"/>
      <c r="U14" s="18"/>
      <c r="V14" s="18">
        <v>0</v>
      </c>
      <c r="W14" s="18"/>
      <c r="X14" s="18"/>
      <c r="Y14" s="18"/>
      <c r="Z14" s="18"/>
      <c r="AA14" s="18"/>
      <c r="AB14" s="18">
        <v>154</v>
      </c>
      <c r="AC14" s="18">
        <v>115</v>
      </c>
      <c r="AD14" s="18">
        <v>967.96</v>
      </c>
      <c r="AE14" s="18"/>
      <c r="AF14" s="18"/>
      <c r="AG14" s="18"/>
      <c r="AH14" s="18"/>
      <c r="AI14" s="57"/>
      <c r="AJ14" s="15"/>
      <c r="AK14" s="18"/>
      <c r="AL14" s="15"/>
      <c r="AM14" s="18">
        <v>21</v>
      </c>
      <c r="AN14" s="18">
        <f t="shared" si="2"/>
        <v>176.4</v>
      </c>
      <c r="AO14" s="18">
        <f t="shared" si="3"/>
        <v>21</v>
      </c>
      <c r="AP14" s="18">
        <f t="shared" si="4"/>
        <v>176.4</v>
      </c>
      <c r="AQ14" s="18">
        <v>0</v>
      </c>
      <c r="AR14" s="18">
        <v>0</v>
      </c>
      <c r="AS14" s="18"/>
      <c r="AT14" s="11"/>
      <c r="AU14" s="18"/>
      <c r="AV14" s="89"/>
      <c r="AW14" s="53"/>
    </row>
    <row r="15" spans="1:49" x14ac:dyDescent="0.15">
      <c r="A15" s="48">
        <v>26</v>
      </c>
      <c r="B15" s="6">
        <v>206350936</v>
      </c>
      <c r="C15" s="6" t="s">
        <v>81</v>
      </c>
      <c r="D15" s="46" t="s">
        <v>82</v>
      </c>
      <c r="E15" s="46">
        <v>2885</v>
      </c>
      <c r="F15" s="46" t="s">
        <v>54</v>
      </c>
      <c r="G15" s="46" t="s">
        <v>55</v>
      </c>
      <c r="H15" s="4">
        <v>44441</v>
      </c>
      <c r="I15" s="56"/>
      <c r="J15" s="14">
        <v>530530</v>
      </c>
      <c r="K15" s="60"/>
      <c r="L15" s="18">
        <f t="shared" si="0"/>
        <v>30947.583333333332</v>
      </c>
      <c r="M15" s="18">
        <f t="shared" si="1"/>
        <v>13263.25</v>
      </c>
      <c r="N15" s="18">
        <f t="shared" si="5"/>
        <v>44210.833333333328</v>
      </c>
      <c r="O15" s="18">
        <v>15</v>
      </c>
      <c r="P15" s="18">
        <f t="shared" si="6"/>
        <v>6631.6249999999991</v>
      </c>
      <c r="Q15" s="18"/>
      <c r="R15" s="18"/>
      <c r="S15" s="18">
        <v>315</v>
      </c>
      <c r="T15" s="18"/>
      <c r="U15" s="18"/>
      <c r="V15" s="18">
        <v>0</v>
      </c>
      <c r="W15" s="18"/>
      <c r="X15" s="18"/>
      <c r="Y15" s="18"/>
      <c r="Z15" s="18"/>
      <c r="AA15" s="18"/>
      <c r="AB15" s="18">
        <v>154</v>
      </c>
      <c r="AC15" s="18">
        <v>115</v>
      </c>
      <c r="AD15" s="18">
        <v>1000</v>
      </c>
      <c r="AE15" s="18"/>
      <c r="AF15" s="18"/>
      <c r="AG15" s="18"/>
      <c r="AH15" s="18"/>
      <c r="AI15" s="57"/>
      <c r="AJ15" s="15"/>
      <c r="AK15" s="18"/>
      <c r="AL15" s="15"/>
      <c r="AM15" s="18">
        <v>21</v>
      </c>
      <c r="AN15" s="18">
        <f t="shared" si="2"/>
        <v>176.4</v>
      </c>
      <c r="AO15" s="18">
        <f t="shared" si="3"/>
        <v>16</v>
      </c>
      <c r="AP15" s="18">
        <f t="shared" si="4"/>
        <v>134.4</v>
      </c>
      <c r="AQ15" s="18">
        <v>5</v>
      </c>
      <c r="AR15" s="18">
        <v>0</v>
      </c>
      <c r="AS15" s="18"/>
      <c r="AT15" s="10"/>
      <c r="AU15" s="18"/>
      <c r="AV15" s="89"/>
      <c r="AW15" s="53"/>
    </row>
    <row r="16" spans="1:49" x14ac:dyDescent="0.15">
      <c r="A16" s="48">
        <v>27</v>
      </c>
      <c r="B16" s="6">
        <v>207763806</v>
      </c>
      <c r="C16" s="6" t="s">
        <v>83</v>
      </c>
      <c r="D16" s="46" t="s">
        <v>84</v>
      </c>
      <c r="E16" s="46">
        <v>2885</v>
      </c>
      <c r="F16" s="46" t="s">
        <v>54</v>
      </c>
      <c r="G16" s="46" t="s">
        <v>55</v>
      </c>
      <c r="H16" s="4">
        <v>44451</v>
      </c>
      <c r="I16" s="56"/>
      <c r="J16" s="14">
        <v>499180</v>
      </c>
      <c r="K16" s="60"/>
      <c r="L16" s="18">
        <f t="shared" si="0"/>
        <v>29118.833333333332</v>
      </c>
      <c r="M16" s="18">
        <f t="shared" si="1"/>
        <v>12479.5</v>
      </c>
      <c r="N16" s="18">
        <f t="shared" si="5"/>
        <v>41598.333333333328</v>
      </c>
      <c r="O16" s="18">
        <v>15</v>
      </c>
      <c r="P16" s="18">
        <f t="shared" si="6"/>
        <v>6239.7499999999991</v>
      </c>
      <c r="Q16" s="18"/>
      <c r="R16" s="18"/>
      <c r="S16" s="18">
        <v>315</v>
      </c>
      <c r="T16" s="18"/>
      <c r="U16" s="18"/>
      <c r="V16" s="18">
        <v>0</v>
      </c>
      <c r="W16" s="18"/>
      <c r="X16" s="18"/>
      <c r="Y16" s="18"/>
      <c r="Z16" s="18"/>
      <c r="AA16" s="18"/>
      <c r="AB16" s="18">
        <v>154</v>
      </c>
      <c r="AC16" s="18">
        <v>115</v>
      </c>
      <c r="AD16" s="18">
        <v>1000</v>
      </c>
      <c r="AE16" s="18"/>
      <c r="AF16" s="18"/>
      <c r="AG16" s="18"/>
      <c r="AH16" s="18"/>
      <c r="AI16" s="57"/>
      <c r="AJ16" s="15"/>
      <c r="AK16" s="18"/>
      <c r="AL16" s="15"/>
      <c r="AM16" s="18">
        <v>21</v>
      </c>
      <c r="AN16" s="18">
        <f t="shared" si="2"/>
        <v>176.4</v>
      </c>
      <c r="AO16" s="18">
        <f t="shared" si="3"/>
        <v>21</v>
      </c>
      <c r="AP16" s="18">
        <f t="shared" si="4"/>
        <v>176.4</v>
      </c>
      <c r="AQ16" s="18">
        <v>0</v>
      </c>
      <c r="AR16" s="18">
        <v>0</v>
      </c>
      <c r="AS16" s="18"/>
      <c r="AT16" s="10"/>
      <c r="AU16" s="18"/>
      <c r="AV16" s="89"/>
      <c r="AW16" s="53"/>
    </row>
    <row r="17" spans="1:49" x14ac:dyDescent="0.15">
      <c r="A17" s="48">
        <v>30</v>
      </c>
      <c r="B17" s="6">
        <v>21598768</v>
      </c>
      <c r="C17" s="6" t="s">
        <v>85</v>
      </c>
      <c r="D17" s="46" t="s">
        <v>86</v>
      </c>
      <c r="E17" s="46">
        <v>2410</v>
      </c>
      <c r="F17" s="46" t="s">
        <v>54</v>
      </c>
      <c r="G17" s="46" t="s">
        <v>55</v>
      </c>
      <c r="H17" s="4">
        <v>44473</v>
      </c>
      <c r="I17" s="56"/>
      <c r="J17" s="14">
        <v>488298.8</v>
      </c>
      <c r="K17" s="60"/>
      <c r="L17" s="18">
        <f t="shared" si="0"/>
        <v>28484.096666666665</v>
      </c>
      <c r="M17" s="18">
        <f t="shared" si="1"/>
        <v>12207.47</v>
      </c>
      <c r="N17" s="18">
        <f t="shared" si="5"/>
        <v>40691.566666666666</v>
      </c>
      <c r="O17" s="18">
        <v>1</v>
      </c>
      <c r="P17" s="18">
        <f t="shared" si="6"/>
        <v>406.91566666666665</v>
      </c>
      <c r="Q17" s="18"/>
      <c r="R17" s="18"/>
      <c r="S17" s="18">
        <v>315</v>
      </c>
      <c r="T17" s="18"/>
      <c r="U17" s="18"/>
      <c r="V17" s="18">
        <v>0</v>
      </c>
      <c r="W17" s="18"/>
      <c r="X17" s="18"/>
      <c r="Y17" s="18"/>
      <c r="Z17" s="18"/>
      <c r="AA17" s="18"/>
      <c r="AB17" s="18">
        <v>154</v>
      </c>
      <c r="AC17" s="18">
        <v>115</v>
      </c>
      <c r="AD17" s="18">
        <v>1000</v>
      </c>
      <c r="AE17" s="18"/>
      <c r="AF17" s="18"/>
      <c r="AG17" s="18"/>
      <c r="AH17" s="18"/>
      <c r="AI17" s="57"/>
      <c r="AJ17" s="15"/>
      <c r="AK17" s="18"/>
      <c r="AL17" s="15"/>
      <c r="AM17" s="18">
        <v>21</v>
      </c>
      <c r="AN17" s="18">
        <f t="shared" si="2"/>
        <v>176.4</v>
      </c>
      <c r="AO17" s="18">
        <f t="shared" si="3"/>
        <v>19</v>
      </c>
      <c r="AP17" s="18">
        <f t="shared" si="4"/>
        <v>159.6</v>
      </c>
      <c r="AQ17" s="18">
        <v>2</v>
      </c>
      <c r="AR17" s="18">
        <v>0</v>
      </c>
      <c r="AS17" s="18"/>
      <c r="AT17" s="10"/>
      <c r="AU17" s="18">
        <v>40</v>
      </c>
      <c r="AV17" s="89"/>
      <c r="AW17" s="53"/>
    </row>
    <row r="18" spans="1:49" x14ac:dyDescent="0.15">
      <c r="A18" s="48">
        <v>32</v>
      </c>
      <c r="B18" s="6">
        <v>307604256</v>
      </c>
      <c r="C18" s="6" t="s">
        <v>87</v>
      </c>
      <c r="D18" s="46" t="s">
        <v>88</v>
      </c>
      <c r="E18" s="46">
        <v>2410</v>
      </c>
      <c r="F18" s="46" t="s">
        <v>54</v>
      </c>
      <c r="G18" s="46" t="s">
        <v>55</v>
      </c>
      <c r="H18" s="4">
        <v>44486</v>
      </c>
      <c r="I18" s="56"/>
      <c r="J18" s="14">
        <v>637738.5</v>
      </c>
      <c r="K18" s="60"/>
      <c r="L18" s="18">
        <f t="shared" si="0"/>
        <v>37201.412499999999</v>
      </c>
      <c r="M18" s="18">
        <f t="shared" si="1"/>
        <v>15943.4625</v>
      </c>
      <c r="N18" s="18">
        <f t="shared" si="5"/>
        <v>53144.875</v>
      </c>
      <c r="O18" s="18">
        <v>0</v>
      </c>
      <c r="P18" s="18">
        <f t="shared" si="6"/>
        <v>0</v>
      </c>
      <c r="Q18" s="18"/>
      <c r="R18" s="18"/>
      <c r="S18" s="18">
        <v>315</v>
      </c>
      <c r="T18" s="18"/>
      <c r="U18" s="18"/>
      <c r="V18" s="18">
        <v>150</v>
      </c>
      <c r="W18" s="18"/>
      <c r="X18" s="18"/>
      <c r="Y18" s="18"/>
      <c r="Z18" s="18"/>
      <c r="AA18" s="18"/>
      <c r="AB18" s="18">
        <v>154</v>
      </c>
      <c r="AC18" s="18">
        <v>115</v>
      </c>
      <c r="AD18" s="18">
        <v>1000</v>
      </c>
      <c r="AE18" s="18"/>
      <c r="AF18" s="18"/>
      <c r="AG18" s="18"/>
      <c r="AH18" s="18"/>
      <c r="AI18" s="57"/>
      <c r="AJ18" s="15"/>
      <c r="AK18" s="18"/>
      <c r="AL18" s="15"/>
      <c r="AM18" s="18">
        <v>21</v>
      </c>
      <c r="AN18" s="18">
        <f t="shared" si="2"/>
        <v>176.4</v>
      </c>
      <c r="AO18" s="18">
        <f t="shared" si="3"/>
        <v>20</v>
      </c>
      <c r="AP18" s="18">
        <f t="shared" si="4"/>
        <v>168</v>
      </c>
      <c r="AQ18" s="18">
        <v>0</v>
      </c>
      <c r="AR18" s="18">
        <v>1</v>
      </c>
      <c r="AS18" s="18"/>
      <c r="AT18" s="10"/>
      <c r="AU18" s="18"/>
      <c r="AV18" s="89"/>
      <c r="AW18" s="53"/>
    </row>
    <row r="19" spans="1:49" x14ac:dyDescent="0.15">
      <c r="A19" s="48">
        <v>35</v>
      </c>
      <c r="B19" s="6">
        <v>201270642</v>
      </c>
      <c r="C19" s="6" t="s">
        <v>89</v>
      </c>
      <c r="D19" s="46" t="s">
        <v>90</v>
      </c>
      <c r="E19" s="46">
        <v>1580</v>
      </c>
      <c r="F19" s="46" t="s">
        <v>54</v>
      </c>
      <c r="G19" s="46" t="s">
        <v>55</v>
      </c>
      <c r="H19" s="4">
        <v>44516</v>
      </c>
      <c r="I19" s="56"/>
      <c r="J19" s="14">
        <v>252167</v>
      </c>
      <c r="K19" s="60"/>
      <c r="L19" s="18">
        <f t="shared" si="0"/>
        <v>14709.741666666667</v>
      </c>
      <c r="M19" s="18">
        <f t="shared" si="1"/>
        <v>6304.1750000000002</v>
      </c>
      <c r="N19" s="18">
        <f t="shared" si="5"/>
        <v>21013.916666666668</v>
      </c>
      <c r="O19" s="18">
        <v>7</v>
      </c>
      <c r="P19" s="18">
        <f t="shared" si="6"/>
        <v>1470.9741666666669</v>
      </c>
      <c r="Q19" s="18"/>
      <c r="R19" s="18"/>
      <c r="S19" s="18">
        <v>315</v>
      </c>
      <c r="T19" s="18"/>
      <c r="U19" s="18"/>
      <c r="V19" s="18">
        <v>0</v>
      </c>
      <c r="W19" s="18"/>
      <c r="X19" s="18"/>
      <c r="Y19" s="18"/>
      <c r="Z19" s="18"/>
      <c r="AA19" s="18"/>
      <c r="AB19" s="18">
        <v>154</v>
      </c>
      <c r="AC19" s="18">
        <v>115</v>
      </c>
      <c r="AD19" s="18">
        <v>1000</v>
      </c>
      <c r="AE19" s="18"/>
      <c r="AF19" s="18"/>
      <c r="AG19" s="18"/>
      <c r="AH19" s="18"/>
      <c r="AI19" s="57"/>
      <c r="AJ19" s="15"/>
      <c r="AK19" s="18"/>
      <c r="AL19" s="15"/>
      <c r="AM19" s="18">
        <v>21</v>
      </c>
      <c r="AN19" s="18">
        <f t="shared" si="2"/>
        <v>176.4</v>
      </c>
      <c r="AO19" s="18">
        <f t="shared" si="3"/>
        <v>20</v>
      </c>
      <c r="AP19" s="18">
        <f t="shared" si="4"/>
        <v>168</v>
      </c>
      <c r="AQ19" s="18">
        <v>0</v>
      </c>
      <c r="AR19" s="18">
        <v>1</v>
      </c>
      <c r="AS19" s="18"/>
      <c r="AT19" s="10"/>
      <c r="AU19" s="18"/>
      <c r="AV19" s="51"/>
      <c r="AW19" s="53"/>
    </row>
    <row r="20" spans="1:49" x14ac:dyDescent="0.15">
      <c r="A20" s="48">
        <v>38</v>
      </c>
      <c r="B20" s="6">
        <v>36983187</v>
      </c>
      <c r="C20" s="6" t="s">
        <v>91</v>
      </c>
      <c r="D20" s="46" t="s">
        <v>92</v>
      </c>
      <c r="E20" s="46">
        <v>2410</v>
      </c>
      <c r="F20" s="46" t="s">
        <v>54</v>
      </c>
      <c r="G20" s="46" t="s">
        <v>55</v>
      </c>
      <c r="H20" s="4">
        <v>44521</v>
      </c>
      <c r="I20" s="56"/>
      <c r="J20" s="14">
        <v>561479</v>
      </c>
      <c r="K20" s="60"/>
      <c r="L20" s="18">
        <f t="shared" si="0"/>
        <v>32752.941666666662</v>
      </c>
      <c r="M20" s="18">
        <f t="shared" si="1"/>
        <v>14036.974999999999</v>
      </c>
      <c r="N20" s="18">
        <f t="shared" si="5"/>
        <v>46789.916666666657</v>
      </c>
      <c r="O20" s="18">
        <v>15</v>
      </c>
      <c r="P20" s="18">
        <f t="shared" si="6"/>
        <v>7018.4874999999984</v>
      </c>
      <c r="Q20" s="18"/>
      <c r="R20" s="18"/>
      <c r="S20" s="18">
        <v>315</v>
      </c>
      <c r="T20" s="18"/>
      <c r="U20" s="18"/>
      <c r="V20" s="18">
        <v>0</v>
      </c>
      <c r="W20" s="18"/>
      <c r="X20" s="18"/>
      <c r="Y20" s="18"/>
      <c r="Z20" s="18"/>
      <c r="AA20" s="18"/>
      <c r="AB20" s="18">
        <v>154</v>
      </c>
      <c r="AC20" s="18">
        <v>115</v>
      </c>
      <c r="AD20" s="18">
        <v>1000</v>
      </c>
      <c r="AE20" s="18"/>
      <c r="AF20" s="18"/>
      <c r="AG20" s="18"/>
      <c r="AH20" s="18"/>
      <c r="AI20" s="57"/>
      <c r="AJ20" s="15"/>
      <c r="AK20" s="18"/>
      <c r="AL20" s="15"/>
      <c r="AM20" s="18">
        <v>21</v>
      </c>
      <c r="AN20" s="18">
        <f t="shared" si="2"/>
        <v>176.4</v>
      </c>
      <c r="AO20" s="18">
        <f t="shared" si="3"/>
        <v>20</v>
      </c>
      <c r="AP20" s="18">
        <f t="shared" si="4"/>
        <v>168</v>
      </c>
      <c r="AQ20" s="18">
        <v>0</v>
      </c>
      <c r="AR20" s="18">
        <v>1</v>
      </c>
      <c r="AS20" s="18"/>
      <c r="AT20" s="10"/>
      <c r="AU20" s="18"/>
      <c r="AV20" s="89"/>
      <c r="AW20" s="53"/>
    </row>
    <row r="21" spans="1:49" x14ac:dyDescent="0.15">
      <c r="A21" s="48">
        <v>36</v>
      </c>
      <c r="B21" s="6">
        <v>207669821</v>
      </c>
      <c r="C21" s="6" t="s">
        <v>93</v>
      </c>
      <c r="D21" s="46" t="s">
        <v>94</v>
      </c>
      <c r="E21" s="46">
        <v>2410</v>
      </c>
      <c r="F21" s="46" t="s">
        <v>54</v>
      </c>
      <c r="G21" s="46" t="s">
        <v>55</v>
      </c>
      <c r="H21" s="4">
        <v>44528</v>
      </c>
      <c r="I21" s="56"/>
      <c r="J21" s="14">
        <v>330297</v>
      </c>
      <c r="K21" s="60"/>
      <c r="L21" s="18">
        <f t="shared" si="0"/>
        <v>19267.324999999997</v>
      </c>
      <c r="M21" s="18">
        <f t="shared" si="1"/>
        <v>8257.4249999999993</v>
      </c>
      <c r="N21" s="18">
        <f t="shared" si="5"/>
        <v>27524.749999999996</v>
      </c>
      <c r="O21" s="18">
        <v>15</v>
      </c>
      <c r="P21" s="18">
        <f t="shared" si="6"/>
        <v>4128.7124999999996</v>
      </c>
      <c r="Q21" s="18"/>
      <c r="R21" s="18"/>
      <c r="S21" s="18">
        <v>315</v>
      </c>
      <c r="T21" s="18"/>
      <c r="U21" s="18"/>
      <c r="V21" s="18">
        <v>0</v>
      </c>
      <c r="W21" s="18"/>
      <c r="X21" s="18"/>
      <c r="Y21" s="18"/>
      <c r="Z21" s="18"/>
      <c r="AA21" s="18"/>
      <c r="AB21" s="18">
        <v>154</v>
      </c>
      <c r="AC21" s="18">
        <v>115</v>
      </c>
      <c r="AD21" s="18">
        <v>999.1</v>
      </c>
      <c r="AE21" s="18"/>
      <c r="AF21" s="18">
        <v>168.9</v>
      </c>
      <c r="AG21" s="18"/>
      <c r="AH21" s="18"/>
      <c r="AI21" s="57"/>
      <c r="AJ21" s="15"/>
      <c r="AK21" s="18"/>
      <c r="AL21" s="15"/>
      <c r="AM21" s="18">
        <v>21</v>
      </c>
      <c r="AN21" s="18">
        <f t="shared" si="2"/>
        <v>176.4</v>
      </c>
      <c r="AO21" s="18">
        <f t="shared" si="3"/>
        <v>7</v>
      </c>
      <c r="AP21" s="18">
        <f t="shared" si="4"/>
        <v>58.800000000000004</v>
      </c>
      <c r="AQ21" s="18">
        <v>14</v>
      </c>
      <c r="AR21" s="18">
        <v>0</v>
      </c>
      <c r="AS21" s="18"/>
      <c r="AT21" s="10"/>
      <c r="AU21" s="18"/>
      <c r="AV21" s="9"/>
      <c r="AW21" s="53"/>
    </row>
    <row r="22" spans="1:49" x14ac:dyDescent="0.15">
      <c r="A22" s="48">
        <v>41</v>
      </c>
      <c r="B22" s="6">
        <v>204287635</v>
      </c>
      <c r="C22" s="6" t="s">
        <v>95</v>
      </c>
      <c r="D22" s="10" t="s">
        <v>96</v>
      </c>
      <c r="E22" s="46">
        <v>2885</v>
      </c>
      <c r="F22" s="46" t="s">
        <v>54</v>
      </c>
      <c r="G22" s="46" t="s">
        <v>55</v>
      </c>
      <c r="H22" s="4">
        <v>44577</v>
      </c>
      <c r="I22" s="56"/>
      <c r="J22" s="14">
        <v>594240</v>
      </c>
      <c r="K22" s="60"/>
      <c r="L22" s="18">
        <f t="shared" si="0"/>
        <v>34664</v>
      </c>
      <c r="M22" s="18">
        <f t="shared" si="1"/>
        <v>14856</v>
      </c>
      <c r="N22" s="18">
        <f t="shared" si="5"/>
        <v>49520</v>
      </c>
      <c r="O22" s="18">
        <v>15</v>
      </c>
      <c r="P22" s="18">
        <f t="shared" si="6"/>
        <v>8666.1944999999996</v>
      </c>
      <c r="Q22" s="18"/>
      <c r="R22" s="18"/>
      <c r="S22" s="18">
        <v>315</v>
      </c>
      <c r="T22" s="18"/>
      <c r="U22" s="18"/>
      <c r="V22" s="18">
        <v>0</v>
      </c>
      <c r="W22" s="50">
        <v>8254.6299999999992</v>
      </c>
      <c r="X22" s="18"/>
      <c r="Y22" s="18"/>
      <c r="Z22" s="18"/>
      <c r="AA22" s="18"/>
      <c r="AB22" s="18">
        <v>154</v>
      </c>
      <c r="AC22" s="18">
        <v>115</v>
      </c>
      <c r="AD22" s="18">
        <v>1000</v>
      </c>
      <c r="AE22" s="18"/>
      <c r="AF22" s="18"/>
      <c r="AG22" s="18"/>
      <c r="AH22" s="18"/>
      <c r="AI22" s="57"/>
      <c r="AJ22" s="15"/>
      <c r="AK22" s="18"/>
      <c r="AL22" s="15"/>
      <c r="AM22" s="18">
        <v>21</v>
      </c>
      <c r="AN22" s="18">
        <f t="shared" si="2"/>
        <v>176.4</v>
      </c>
      <c r="AO22" s="18">
        <f t="shared" si="3"/>
        <v>21</v>
      </c>
      <c r="AP22" s="18">
        <f t="shared" si="4"/>
        <v>176.4</v>
      </c>
      <c r="AQ22" s="18">
        <v>0</v>
      </c>
      <c r="AR22" s="18">
        <v>0</v>
      </c>
      <c r="AS22" s="18"/>
      <c r="AT22" s="10"/>
      <c r="AU22" s="18"/>
      <c r="AV22" s="9"/>
      <c r="AW22" s="53"/>
    </row>
    <row r="23" spans="1:49" x14ac:dyDescent="0.15">
      <c r="A23" s="48">
        <v>42</v>
      </c>
      <c r="B23" s="6">
        <v>204596795</v>
      </c>
      <c r="C23" s="6" t="s">
        <v>97</v>
      </c>
      <c r="D23" s="10" t="s">
        <v>98</v>
      </c>
      <c r="E23" s="46">
        <v>2885</v>
      </c>
      <c r="F23" s="46" t="s">
        <v>54</v>
      </c>
      <c r="G23" s="46" t="s">
        <v>55</v>
      </c>
      <c r="H23" s="4">
        <v>44577</v>
      </c>
      <c r="I23" s="56"/>
      <c r="J23" s="14">
        <v>534600</v>
      </c>
      <c r="K23" s="60"/>
      <c r="L23" s="18">
        <f t="shared" si="0"/>
        <v>31184.999999999996</v>
      </c>
      <c r="M23" s="18">
        <f t="shared" si="1"/>
        <v>13365</v>
      </c>
      <c r="N23" s="18">
        <f t="shared" si="5"/>
        <v>44550</v>
      </c>
      <c r="O23" s="18">
        <v>15</v>
      </c>
      <c r="P23" s="18">
        <f t="shared" si="6"/>
        <v>6682.5</v>
      </c>
      <c r="Q23" s="18"/>
      <c r="R23" s="18"/>
      <c r="S23" s="18">
        <v>315</v>
      </c>
      <c r="T23" s="18"/>
      <c r="U23" s="18"/>
      <c r="V23" s="18">
        <v>0</v>
      </c>
      <c r="W23" s="18"/>
      <c r="X23" s="18"/>
      <c r="Y23" s="18"/>
      <c r="Z23" s="18"/>
      <c r="AA23" s="18"/>
      <c r="AB23" s="18">
        <v>154</v>
      </c>
      <c r="AC23" s="18">
        <v>115</v>
      </c>
      <c r="AD23" s="18">
        <v>1000</v>
      </c>
      <c r="AE23" s="18"/>
      <c r="AF23" s="18"/>
      <c r="AG23" s="18"/>
      <c r="AH23" s="18"/>
      <c r="AI23" s="57"/>
      <c r="AJ23" s="15"/>
      <c r="AK23" s="18"/>
      <c r="AL23" s="15"/>
      <c r="AM23" s="18">
        <v>21</v>
      </c>
      <c r="AN23" s="18">
        <f t="shared" si="2"/>
        <v>176.4</v>
      </c>
      <c r="AO23" s="18">
        <f t="shared" si="3"/>
        <v>21</v>
      </c>
      <c r="AP23" s="18">
        <f t="shared" si="4"/>
        <v>176.4</v>
      </c>
      <c r="AQ23" s="18">
        <v>0</v>
      </c>
      <c r="AR23" s="18">
        <v>0</v>
      </c>
      <c r="AS23" s="18"/>
      <c r="AT23" s="10"/>
      <c r="AU23" s="18"/>
      <c r="AV23" s="89"/>
      <c r="AW23" s="53"/>
    </row>
    <row r="24" spans="1:49" x14ac:dyDescent="0.15">
      <c r="A24" s="48">
        <v>43</v>
      </c>
      <c r="B24" s="6">
        <v>302748843</v>
      </c>
      <c r="C24" s="6" t="s">
        <v>99</v>
      </c>
      <c r="D24" s="10" t="s">
        <v>100</v>
      </c>
      <c r="E24" s="46">
        <v>2410</v>
      </c>
      <c r="F24" s="46" t="s">
        <v>54</v>
      </c>
      <c r="G24" s="46" t="s">
        <v>55</v>
      </c>
      <c r="H24" s="4">
        <v>44581</v>
      </c>
      <c r="I24" s="56"/>
      <c r="J24" s="14">
        <v>425930</v>
      </c>
      <c r="K24" s="60"/>
      <c r="L24" s="18">
        <f t="shared" si="0"/>
        <v>24845.916666666664</v>
      </c>
      <c r="M24" s="18">
        <f t="shared" si="1"/>
        <v>10648.249999999998</v>
      </c>
      <c r="N24" s="18">
        <f t="shared" si="5"/>
        <v>35494.166666666664</v>
      </c>
      <c r="O24" s="18">
        <v>0</v>
      </c>
      <c r="P24" s="18">
        <f t="shared" si="6"/>
        <v>0</v>
      </c>
      <c r="Q24" s="18"/>
      <c r="R24" s="18"/>
      <c r="S24" s="18">
        <v>315</v>
      </c>
      <c r="T24" s="18"/>
      <c r="U24" s="18"/>
      <c r="V24" s="18">
        <v>0</v>
      </c>
      <c r="W24" s="18"/>
      <c r="X24" s="18"/>
      <c r="Y24" s="18"/>
      <c r="Z24" s="18"/>
      <c r="AA24" s="18"/>
      <c r="AB24" s="18">
        <v>154</v>
      </c>
      <c r="AC24" s="18">
        <v>115</v>
      </c>
      <c r="AD24" s="18">
        <v>1000</v>
      </c>
      <c r="AE24" s="18"/>
      <c r="AF24" s="18"/>
      <c r="AG24" s="18"/>
      <c r="AH24" s="18"/>
      <c r="AI24" s="57"/>
      <c r="AJ24" s="15"/>
      <c r="AK24" s="18"/>
      <c r="AL24" s="15"/>
      <c r="AM24" s="18">
        <v>21</v>
      </c>
      <c r="AN24" s="18">
        <f t="shared" si="2"/>
        <v>176.4</v>
      </c>
      <c r="AO24" s="18">
        <f t="shared" si="3"/>
        <v>21</v>
      </c>
      <c r="AP24" s="18">
        <f t="shared" si="4"/>
        <v>176.4</v>
      </c>
      <c r="AQ24" s="18">
        <v>0</v>
      </c>
      <c r="AR24" s="18">
        <v>0</v>
      </c>
      <c r="AS24" s="18"/>
      <c r="AT24" s="10"/>
      <c r="AU24" s="18"/>
      <c r="AV24" s="89"/>
      <c r="AW24" s="53"/>
    </row>
    <row r="25" spans="1:49" x14ac:dyDescent="0.15">
      <c r="A25" s="48">
        <v>45</v>
      </c>
      <c r="B25" s="6">
        <v>305357956</v>
      </c>
      <c r="C25" s="6" t="s">
        <v>101</v>
      </c>
      <c r="D25" s="10" t="s">
        <v>102</v>
      </c>
      <c r="E25" s="46">
        <v>2410</v>
      </c>
      <c r="F25" s="46" t="s">
        <v>54</v>
      </c>
      <c r="G25" s="46" t="s">
        <v>55</v>
      </c>
      <c r="H25" s="4">
        <v>44585</v>
      </c>
      <c r="I25" s="56"/>
      <c r="J25" s="14">
        <v>489124.9</v>
      </c>
      <c r="K25" s="60"/>
      <c r="L25" s="18">
        <f t="shared" si="0"/>
        <v>28532.285833333332</v>
      </c>
      <c r="M25" s="18">
        <f t="shared" si="1"/>
        <v>12228.122499999999</v>
      </c>
      <c r="N25" s="18">
        <f>M25+L25</f>
        <v>40760.408333333333</v>
      </c>
      <c r="O25" s="18">
        <v>15</v>
      </c>
      <c r="P25" s="18">
        <f t="shared" si="6"/>
        <v>6114.0612499999997</v>
      </c>
      <c r="Q25" s="18"/>
      <c r="R25" s="18"/>
      <c r="S25" s="18">
        <v>315</v>
      </c>
      <c r="T25" s="18"/>
      <c r="U25" s="18"/>
      <c r="V25" s="18">
        <v>0</v>
      </c>
      <c r="W25" s="18"/>
      <c r="X25" s="18"/>
      <c r="Y25" s="18"/>
      <c r="Z25" s="18"/>
      <c r="AA25" s="18"/>
      <c r="AB25" s="18">
        <v>154</v>
      </c>
      <c r="AC25" s="18">
        <v>115</v>
      </c>
      <c r="AD25" s="18">
        <v>1000</v>
      </c>
      <c r="AE25" s="18"/>
      <c r="AF25" s="18"/>
      <c r="AG25" s="18"/>
      <c r="AH25" s="18"/>
      <c r="AI25" s="57"/>
      <c r="AJ25" s="15"/>
      <c r="AK25" s="18"/>
      <c r="AL25" s="15"/>
      <c r="AM25" s="18">
        <v>21</v>
      </c>
      <c r="AN25" s="18">
        <f t="shared" si="2"/>
        <v>176.4</v>
      </c>
      <c r="AO25" s="18">
        <f t="shared" si="3"/>
        <v>21</v>
      </c>
      <c r="AP25" s="18">
        <f t="shared" si="4"/>
        <v>176.4</v>
      </c>
      <c r="AQ25" s="18">
        <v>0</v>
      </c>
      <c r="AR25" s="18">
        <v>0</v>
      </c>
      <c r="AS25" s="18"/>
      <c r="AT25" s="10"/>
      <c r="AU25" s="18"/>
      <c r="AV25" s="89"/>
      <c r="AW25" s="53"/>
    </row>
    <row r="26" spans="1:49" x14ac:dyDescent="0.15">
      <c r="A26" s="48">
        <v>47</v>
      </c>
      <c r="B26" s="6">
        <v>318638038</v>
      </c>
      <c r="C26" s="6" t="s">
        <v>103</v>
      </c>
      <c r="D26" s="10" t="s">
        <v>104</v>
      </c>
      <c r="E26" s="46">
        <v>2885</v>
      </c>
      <c r="F26" s="46" t="s">
        <v>54</v>
      </c>
      <c r="G26" s="46" t="s">
        <v>55</v>
      </c>
      <c r="H26" s="4">
        <v>44620</v>
      </c>
      <c r="I26" s="56"/>
      <c r="J26" s="14">
        <v>528900</v>
      </c>
      <c r="K26" s="60"/>
      <c r="L26" s="18">
        <f t="shared" si="0"/>
        <v>30852.499999999996</v>
      </c>
      <c r="M26" s="18">
        <f t="shared" si="1"/>
        <v>13222.5</v>
      </c>
      <c r="N26" s="18">
        <f t="shared" ref="N26:N71" si="7">SUM(L26:M26)</f>
        <v>44075</v>
      </c>
      <c r="O26" s="18">
        <v>15</v>
      </c>
      <c r="P26" s="18">
        <f t="shared" si="6"/>
        <v>6611.25</v>
      </c>
      <c r="Q26" s="18"/>
      <c r="R26" s="18"/>
      <c r="S26" s="18">
        <v>315</v>
      </c>
      <c r="T26" s="18"/>
      <c r="U26" s="18"/>
      <c r="V26" s="18">
        <v>0</v>
      </c>
      <c r="W26" s="18"/>
      <c r="X26" s="18"/>
      <c r="Y26" s="18"/>
      <c r="Z26" s="18"/>
      <c r="AA26" s="18"/>
      <c r="AB26" s="18">
        <v>154</v>
      </c>
      <c r="AC26" s="18">
        <v>115</v>
      </c>
      <c r="AD26" s="18">
        <v>1000</v>
      </c>
      <c r="AE26" s="18"/>
      <c r="AF26" s="18"/>
      <c r="AG26" s="18"/>
      <c r="AH26" s="18"/>
      <c r="AI26" s="57"/>
      <c r="AJ26" s="15"/>
      <c r="AK26" s="18"/>
      <c r="AL26" s="15"/>
      <c r="AM26" s="18">
        <v>21</v>
      </c>
      <c r="AN26" s="18">
        <f t="shared" si="2"/>
        <v>176.4</v>
      </c>
      <c r="AO26" s="18">
        <f t="shared" si="3"/>
        <v>19</v>
      </c>
      <c r="AP26" s="18">
        <f t="shared" si="4"/>
        <v>159.6</v>
      </c>
      <c r="AQ26" s="18">
        <v>2</v>
      </c>
      <c r="AR26" s="18">
        <v>0</v>
      </c>
      <c r="AS26" s="18"/>
      <c r="AT26" s="10"/>
      <c r="AU26" s="18">
        <v>168</v>
      </c>
      <c r="AV26" s="89"/>
      <c r="AW26" s="53"/>
    </row>
    <row r="27" spans="1:49" x14ac:dyDescent="0.15">
      <c r="A27" s="48">
        <v>57</v>
      </c>
      <c r="B27" s="6">
        <v>40678740</v>
      </c>
      <c r="C27" s="6" t="s">
        <v>105</v>
      </c>
      <c r="D27" s="46" t="s">
        <v>106</v>
      </c>
      <c r="E27" s="46">
        <v>2250</v>
      </c>
      <c r="F27" s="46" t="s">
        <v>54</v>
      </c>
      <c r="G27" s="46" t="s">
        <v>55</v>
      </c>
      <c r="H27" s="4">
        <v>44713</v>
      </c>
      <c r="I27" s="56"/>
      <c r="J27" s="14">
        <v>566000</v>
      </c>
      <c r="K27" s="60"/>
      <c r="L27" s="18">
        <f t="shared" si="0"/>
        <v>33016.666666666664</v>
      </c>
      <c r="M27" s="18">
        <f t="shared" si="1"/>
        <v>14149.999999999998</v>
      </c>
      <c r="N27" s="18">
        <f t="shared" si="7"/>
        <v>47166.666666666664</v>
      </c>
      <c r="O27" s="18">
        <v>15</v>
      </c>
      <c r="P27" s="18">
        <f t="shared" si="6"/>
        <v>7074.9999999999991</v>
      </c>
      <c r="Q27" s="18"/>
      <c r="R27" s="18"/>
      <c r="S27" s="18">
        <v>315</v>
      </c>
      <c r="T27" s="18"/>
      <c r="U27" s="18"/>
      <c r="V27" s="18">
        <v>0</v>
      </c>
      <c r="W27" s="18"/>
      <c r="X27" s="18"/>
      <c r="Y27" s="18"/>
      <c r="Z27" s="18"/>
      <c r="AA27" s="18"/>
      <c r="AB27" s="18">
        <v>154</v>
      </c>
      <c r="AC27" s="18">
        <v>115</v>
      </c>
      <c r="AD27" s="18">
        <v>1000</v>
      </c>
      <c r="AE27" s="18"/>
      <c r="AF27" s="18"/>
      <c r="AG27" s="18"/>
      <c r="AH27" s="18"/>
      <c r="AI27" s="57"/>
      <c r="AJ27" s="15"/>
      <c r="AK27" s="18"/>
      <c r="AL27" s="15"/>
      <c r="AM27" s="18">
        <v>21</v>
      </c>
      <c r="AN27" s="18">
        <f t="shared" si="2"/>
        <v>176.4</v>
      </c>
      <c r="AO27" s="18">
        <f t="shared" si="3"/>
        <v>21</v>
      </c>
      <c r="AP27" s="18">
        <f t="shared" si="4"/>
        <v>176.4</v>
      </c>
      <c r="AQ27" s="18">
        <v>0</v>
      </c>
      <c r="AR27" s="18">
        <v>0</v>
      </c>
      <c r="AS27" s="18"/>
      <c r="AT27" s="10"/>
      <c r="AU27" s="18">
        <v>100</v>
      </c>
      <c r="AV27" s="89"/>
      <c r="AW27" s="53"/>
    </row>
    <row r="28" spans="1:49" x14ac:dyDescent="0.15">
      <c r="A28" s="48">
        <v>59</v>
      </c>
      <c r="B28" s="6">
        <v>66729690</v>
      </c>
      <c r="C28" s="6" t="s">
        <v>107</v>
      </c>
      <c r="D28" s="46" t="s">
        <v>108</v>
      </c>
      <c r="E28" s="46">
        <v>2160</v>
      </c>
      <c r="F28" s="46" t="s">
        <v>54</v>
      </c>
      <c r="G28" s="46" t="s">
        <v>55</v>
      </c>
      <c r="H28" s="4">
        <v>44713</v>
      </c>
      <c r="I28" s="56"/>
      <c r="J28" s="14">
        <v>726404</v>
      </c>
      <c r="K28" s="60"/>
      <c r="L28" s="18">
        <f t="shared" si="0"/>
        <v>42373.566666666666</v>
      </c>
      <c r="M28" s="18">
        <f t="shared" si="1"/>
        <v>18160.099999999999</v>
      </c>
      <c r="N28" s="18">
        <f t="shared" si="7"/>
        <v>60533.666666666664</v>
      </c>
      <c r="O28" s="18">
        <v>15</v>
      </c>
      <c r="P28" s="18">
        <f t="shared" si="6"/>
        <v>9080.0499999999993</v>
      </c>
      <c r="Q28" s="18"/>
      <c r="R28" s="18"/>
      <c r="S28" s="18">
        <v>315</v>
      </c>
      <c r="T28" s="18"/>
      <c r="U28" s="18"/>
      <c r="V28" s="18">
        <v>150</v>
      </c>
      <c r="W28" s="18"/>
      <c r="X28" s="18"/>
      <c r="Y28" s="18"/>
      <c r="Z28" s="18"/>
      <c r="AA28" s="18"/>
      <c r="AB28" s="18">
        <v>154</v>
      </c>
      <c r="AC28" s="18">
        <v>115</v>
      </c>
      <c r="AD28" s="18">
        <v>1000</v>
      </c>
      <c r="AE28" s="18"/>
      <c r="AF28" s="18"/>
      <c r="AG28" s="18"/>
      <c r="AH28" s="18"/>
      <c r="AI28" s="57"/>
      <c r="AJ28" s="15"/>
      <c r="AK28" s="18"/>
      <c r="AL28" s="15"/>
      <c r="AM28" s="18">
        <v>21</v>
      </c>
      <c r="AN28" s="18">
        <f t="shared" si="2"/>
        <v>176.4</v>
      </c>
      <c r="AO28" s="18">
        <f t="shared" si="3"/>
        <v>21</v>
      </c>
      <c r="AP28" s="18">
        <f t="shared" si="4"/>
        <v>176.4</v>
      </c>
      <c r="AQ28" s="18">
        <v>0</v>
      </c>
      <c r="AR28" s="18">
        <v>0</v>
      </c>
      <c r="AS28" s="18"/>
      <c r="AT28" s="10"/>
      <c r="AU28" s="18"/>
      <c r="AV28" s="89"/>
      <c r="AW28" s="53"/>
    </row>
    <row r="29" spans="1:49" x14ac:dyDescent="0.15">
      <c r="A29" s="48">
        <v>60</v>
      </c>
      <c r="B29" s="6">
        <v>323235135</v>
      </c>
      <c r="C29" s="6" t="s">
        <v>109</v>
      </c>
      <c r="D29" s="46" t="s">
        <v>110</v>
      </c>
      <c r="E29" s="46">
        <v>2160</v>
      </c>
      <c r="F29" s="46" t="s">
        <v>54</v>
      </c>
      <c r="G29" s="46" t="s">
        <v>55</v>
      </c>
      <c r="H29" s="4">
        <v>44713</v>
      </c>
      <c r="I29" s="56"/>
      <c r="J29" s="14">
        <v>699998</v>
      </c>
      <c r="K29" s="60"/>
      <c r="L29" s="18">
        <f t="shared" si="0"/>
        <v>40833.21666666666</v>
      </c>
      <c r="M29" s="18">
        <f t="shared" si="1"/>
        <v>17499.949999999997</v>
      </c>
      <c r="N29" s="18">
        <f t="shared" si="7"/>
        <v>58333.166666666657</v>
      </c>
      <c r="O29" s="18">
        <v>15</v>
      </c>
      <c r="P29" s="18">
        <f t="shared" si="6"/>
        <v>8749.9749999999985</v>
      </c>
      <c r="Q29" s="18"/>
      <c r="R29" s="18"/>
      <c r="S29" s="18">
        <v>315</v>
      </c>
      <c r="T29" s="18"/>
      <c r="U29" s="18"/>
      <c r="V29" s="18">
        <v>0</v>
      </c>
      <c r="W29" s="18"/>
      <c r="X29" s="18"/>
      <c r="Y29" s="18"/>
      <c r="Z29" s="18"/>
      <c r="AA29" s="18"/>
      <c r="AB29" s="18">
        <v>154</v>
      </c>
      <c r="AC29" s="18">
        <v>115</v>
      </c>
      <c r="AD29" s="18">
        <v>986.52</v>
      </c>
      <c r="AE29" s="18"/>
      <c r="AF29" s="18"/>
      <c r="AG29" s="18"/>
      <c r="AH29" s="18"/>
      <c r="AI29" s="57"/>
      <c r="AJ29" s="15"/>
      <c r="AK29" s="18"/>
      <c r="AL29" s="15"/>
      <c r="AM29" s="18">
        <v>21</v>
      </c>
      <c r="AN29" s="18">
        <f t="shared" si="2"/>
        <v>176.4</v>
      </c>
      <c r="AO29" s="18">
        <f t="shared" si="3"/>
        <v>20</v>
      </c>
      <c r="AP29" s="18">
        <f t="shared" si="4"/>
        <v>168</v>
      </c>
      <c r="AQ29" s="18">
        <v>1</v>
      </c>
      <c r="AR29" s="18">
        <v>0</v>
      </c>
      <c r="AS29" s="18"/>
      <c r="AT29" s="10"/>
      <c r="AU29" s="18"/>
      <c r="AV29" s="89"/>
      <c r="AW29" s="53"/>
    </row>
    <row r="30" spans="1:49" x14ac:dyDescent="0.15">
      <c r="A30" s="48">
        <v>53</v>
      </c>
      <c r="B30" s="6">
        <v>304846652</v>
      </c>
      <c r="C30" s="6" t="s">
        <v>111</v>
      </c>
      <c r="D30" s="46" t="s">
        <v>112</v>
      </c>
      <c r="E30" s="46">
        <v>2410</v>
      </c>
      <c r="F30" s="46" t="s">
        <v>54</v>
      </c>
      <c r="G30" s="46" t="s">
        <v>55</v>
      </c>
      <c r="H30" s="4">
        <v>44720</v>
      </c>
      <c r="I30" s="56"/>
      <c r="J30" s="14">
        <v>497998</v>
      </c>
      <c r="K30" s="60"/>
      <c r="L30" s="18">
        <f t="shared" si="0"/>
        <v>29049.883333333331</v>
      </c>
      <c r="M30" s="18">
        <f t="shared" si="1"/>
        <v>12449.95</v>
      </c>
      <c r="N30" s="18">
        <f t="shared" si="7"/>
        <v>41499.833333333328</v>
      </c>
      <c r="O30" s="18">
        <v>10</v>
      </c>
      <c r="P30" s="18">
        <f t="shared" si="6"/>
        <v>4149.9833333333327</v>
      </c>
      <c r="Q30" s="18"/>
      <c r="R30" s="18"/>
      <c r="S30" s="18">
        <v>315</v>
      </c>
      <c r="T30" s="18"/>
      <c r="U30" s="18"/>
      <c r="V30" s="18">
        <v>0</v>
      </c>
      <c r="W30" s="18"/>
      <c r="X30" s="18"/>
      <c r="Y30" s="18"/>
      <c r="Z30" s="18"/>
      <c r="AA30" s="18"/>
      <c r="AB30" s="18">
        <v>154</v>
      </c>
      <c r="AC30" s="18">
        <v>115</v>
      </c>
      <c r="AD30" s="18">
        <v>999.71</v>
      </c>
      <c r="AE30" s="18"/>
      <c r="AF30" s="18"/>
      <c r="AG30" s="18"/>
      <c r="AH30" s="18"/>
      <c r="AI30" s="57"/>
      <c r="AJ30" s="15"/>
      <c r="AK30" s="18"/>
      <c r="AL30" s="15"/>
      <c r="AM30" s="18">
        <v>21</v>
      </c>
      <c r="AN30" s="18">
        <f t="shared" si="2"/>
        <v>176.4</v>
      </c>
      <c r="AO30" s="18">
        <f t="shared" si="3"/>
        <v>21</v>
      </c>
      <c r="AP30" s="18">
        <f t="shared" si="4"/>
        <v>176.4</v>
      </c>
      <c r="AQ30" s="18">
        <v>0</v>
      </c>
      <c r="AR30" s="18">
        <v>0</v>
      </c>
      <c r="AS30" s="18"/>
      <c r="AT30" s="10"/>
      <c r="AU30" s="18">
        <v>248</v>
      </c>
      <c r="AV30" s="89"/>
      <c r="AW30" s="53"/>
    </row>
    <row r="31" spans="1:49" x14ac:dyDescent="0.15">
      <c r="A31" s="48">
        <v>54</v>
      </c>
      <c r="B31" s="6">
        <v>321285512</v>
      </c>
      <c r="C31" s="6" t="s">
        <v>113</v>
      </c>
      <c r="D31" s="46" t="s">
        <v>114</v>
      </c>
      <c r="E31" s="46">
        <v>2160</v>
      </c>
      <c r="F31" s="46" t="s">
        <v>54</v>
      </c>
      <c r="G31" s="46" t="s">
        <v>55</v>
      </c>
      <c r="H31" s="4">
        <v>44721</v>
      </c>
      <c r="I31" s="56"/>
      <c r="J31" s="14">
        <v>785030</v>
      </c>
      <c r="K31" s="60"/>
      <c r="L31" s="18">
        <f t="shared" si="0"/>
        <v>45793.416666666664</v>
      </c>
      <c r="M31" s="18">
        <f t="shared" si="1"/>
        <v>19625.75</v>
      </c>
      <c r="N31" s="18">
        <f t="shared" si="7"/>
        <v>65419.166666666664</v>
      </c>
      <c r="O31" s="18">
        <v>8</v>
      </c>
      <c r="P31" s="18">
        <f t="shared" si="6"/>
        <v>5233.5333333333328</v>
      </c>
      <c r="Q31" s="18"/>
      <c r="R31" s="18"/>
      <c r="S31" s="18">
        <v>315</v>
      </c>
      <c r="T31" s="18"/>
      <c r="U31" s="18"/>
      <c r="V31" s="18">
        <v>0</v>
      </c>
      <c r="W31" s="18"/>
      <c r="X31" s="18"/>
      <c r="Y31" s="18"/>
      <c r="Z31" s="18"/>
      <c r="AA31" s="18"/>
      <c r="AB31" s="18">
        <v>154</v>
      </c>
      <c r="AC31" s="18">
        <v>115</v>
      </c>
      <c r="AD31" s="18">
        <v>1000</v>
      </c>
      <c r="AE31" s="18"/>
      <c r="AF31" s="18"/>
      <c r="AG31" s="18"/>
      <c r="AH31" s="18"/>
      <c r="AI31" s="57"/>
      <c r="AJ31" s="15"/>
      <c r="AK31" s="18"/>
      <c r="AL31" s="15"/>
      <c r="AM31" s="18">
        <v>21</v>
      </c>
      <c r="AN31" s="18">
        <f t="shared" si="2"/>
        <v>176.4</v>
      </c>
      <c r="AO31" s="18">
        <f t="shared" si="3"/>
        <v>21</v>
      </c>
      <c r="AP31" s="18">
        <f t="shared" si="4"/>
        <v>176.4</v>
      </c>
      <c r="AQ31" s="18">
        <v>0</v>
      </c>
      <c r="AR31" s="18">
        <v>0</v>
      </c>
      <c r="AS31" s="18"/>
      <c r="AT31" s="10"/>
      <c r="AU31" s="18">
        <v>70</v>
      </c>
      <c r="AV31" s="89"/>
      <c r="AW31" s="53"/>
    </row>
    <row r="32" spans="1:49" x14ac:dyDescent="0.15">
      <c r="A32" s="48">
        <v>55</v>
      </c>
      <c r="B32" s="6">
        <v>314349622</v>
      </c>
      <c r="C32" s="6" t="s">
        <v>115</v>
      </c>
      <c r="D32" s="46" t="s">
        <v>116</v>
      </c>
      <c r="E32" s="46">
        <v>2450</v>
      </c>
      <c r="F32" s="46" t="s">
        <v>54</v>
      </c>
      <c r="G32" s="46" t="s">
        <v>55</v>
      </c>
      <c r="H32" s="4">
        <v>44735</v>
      </c>
      <c r="I32" s="56"/>
      <c r="J32" s="14">
        <v>519026</v>
      </c>
      <c r="K32" s="60"/>
      <c r="L32" s="18">
        <f t="shared" si="0"/>
        <v>30276.516666666663</v>
      </c>
      <c r="M32" s="18">
        <f t="shared" si="1"/>
        <v>12975.65</v>
      </c>
      <c r="N32" s="18">
        <f t="shared" si="7"/>
        <v>43252.166666666664</v>
      </c>
      <c r="O32" s="18">
        <v>15</v>
      </c>
      <c r="P32" s="18">
        <f t="shared" si="6"/>
        <v>6487.8249999999998</v>
      </c>
      <c r="Q32" s="18"/>
      <c r="R32" s="18"/>
      <c r="S32" s="18">
        <v>315</v>
      </c>
      <c r="T32" s="18"/>
      <c r="U32" s="18"/>
      <c r="V32" s="18">
        <v>0</v>
      </c>
      <c r="W32" s="18"/>
      <c r="X32" s="18"/>
      <c r="Y32" s="18"/>
      <c r="Z32" s="18"/>
      <c r="AA32" s="18"/>
      <c r="AB32" s="18">
        <v>154</v>
      </c>
      <c r="AC32" s="18">
        <v>115</v>
      </c>
      <c r="AD32" s="18">
        <v>1000</v>
      </c>
      <c r="AE32" s="18"/>
      <c r="AF32" s="18"/>
      <c r="AG32" s="18"/>
      <c r="AH32" s="18"/>
      <c r="AI32" s="57"/>
      <c r="AJ32" s="15"/>
      <c r="AK32" s="18"/>
      <c r="AL32" s="15"/>
      <c r="AM32" s="18">
        <v>21</v>
      </c>
      <c r="AN32" s="18">
        <f t="shared" si="2"/>
        <v>176.4</v>
      </c>
      <c r="AO32" s="18">
        <f t="shared" si="3"/>
        <v>21</v>
      </c>
      <c r="AP32" s="18">
        <f t="shared" si="4"/>
        <v>176.4</v>
      </c>
      <c r="AQ32" s="18">
        <v>0</v>
      </c>
      <c r="AR32" s="18">
        <v>0</v>
      </c>
      <c r="AS32" s="18"/>
      <c r="AT32" s="10"/>
      <c r="AU32" s="18"/>
      <c r="AV32" s="89"/>
      <c r="AW32" s="53"/>
    </row>
    <row r="33" spans="1:49" x14ac:dyDescent="0.15">
      <c r="A33" s="48">
        <v>56</v>
      </c>
      <c r="B33" s="6">
        <v>309341808</v>
      </c>
      <c r="C33" s="6" t="s">
        <v>117</v>
      </c>
      <c r="D33" s="46" t="s">
        <v>118</v>
      </c>
      <c r="E33" s="46">
        <v>2160</v>
      </c>
      <c r="F33" s="46" t="s">
        <v>54</v>
      </c>
      <c r="G33" s="46" t="s">
        <v>55</v>
      </c>
      <c r="H33" s="4">
        <v>44740</v>
      </c>
      <c r="I33" s="56"/>
      <c r="J33" s="14">
        <v>791600</v>
      </c>
      <c r="K33" s="60"/>
      <c r="L33" s="18">
        <f t="shared" si="0"/>
        <v>46176.666666666664</v>
      </c>
      <c r="M33" s="18">
        <f t="shared" si="1"/>
        <v>19790</v>
      </c>
      <c r="N33" s="18">
        <f t="shared" si="7"/>
        <v>65966.666666666657</v>
      </c>
      <c r="O33" s="8">
        <v>7</v>
      </c>
      <c r="P33" s="18">
        <f t="shared" si="6"/>
        <v>4617.6666666666661</v>
      </c>
      <c r="Q33" s="18"/>
      <c r="R33" s="18"/>
      <c r="S33" s="18">
        <v>315</v>
      </c>
      <c r="T33" s="18"/>
      <c r="U33" s="18"/>
      <c r="V33" s="18">
        <v>0</v>
      </c>
      <c r="W33" s="18"/>
      <c r="X33" s="18"/>
      <c r="Y33" s="18"/>
      <c r="Z33" s="18"/>
      <c r="AA33" s="18"/>
      <c r="AB33" s="18">
        <v>154</v>
      </c>
      <c r="AC33" s="18">
        <v>115</v>
      </c>
      <c r="AD33" s="18">
        <v>1000</v>
      </c>
      <c r="AE33" s="18"/>
      <c r="AF33" s="18"/>
      <c r="AG33" s="18"/>
      <c r="AH33" s="18"/>
      <c r="AI33" s="57"/>
      <c r="AJ33" s="15"/>
      <c r="AK33" s="18"/>
      <c r="AL33" s="15"/>
      <c r="AM33" s="18">
        <v>21</v>
      </c>
      <c r="AN33" s="18">
        <f t="shared" si="2"/>
        <v>176.4</v>
      </c>
      <c r="AO33" s="18">
        <f t="shared" si="3"/>
        <v>21</v>
      </c>
      <c r="AP33" s="18">
        <f t="shared" si="4"/>
        <v>176.4</v>
      </c>
      <c r="AQ33" s="18">
        <v>0</v>
      </c>
      <c r="AR33" s="18">
        <v>0</v>
      </c>
      <c r="AS33" s="18"/>
      <c r="AT33" s="10"/>
      <c r="AU33" s="18"/>
      <c r="AV33" s="89"/>
      <c r="AW33" s="53"/>
    </row>
    <row r="34" spans="1:49" x14ac:dyDescent="0.15">
      <c r="A34" s="48">
        <v>61</v>
      </c>
      <c r="B34" s="6">
        <v>13641527</v>
      </c>
      <c r="C34" s="6" t="s">
        <v>119</v>
      </c>
      <c r="D34" s="46" t="s">
        <v>120</v>
      </c>
      <c r="E34" s="46">
        <v>2160</v>
      </c>
      <c r="F34" s="46" t="s">
        <v>54</v>
      </c>
      <c r="G34" s="46" t="s">
        <v>55</v>
      </c>
      <c r="H34" s="4">
        <v>44752</v>
      </c>
      <c r="I34" s="56"/>
      <c r="J34" s="14">
        <v>587000</v>
      </c>
      <c r="K34" s="60"/>
      <c r="L34" s="18">
        <f t="shared" si="0"/>
        <v>34241.666666666664</v>
      </c>
      <c r="M34" s="18">
        <f t="shared" si="1"/>
        <v>14674.999999999998</v>
      </c>
      <c r="N34" s="18">
        <f t="shared" si="7"/>
        <v>48916.666666666664</v>
      </c>
      <c r="O34" s="18">
        <v>4</v>
      </c>
      <c r="P34" s="18">
        <f t="shared" si="6"/>
        <v>1956.6666666666665</v>
      </c>
      <c r="Q34" s="18"/>
      <c r="R34" s="18"/>
      <c r="S34" s="18">
        <v>315</v>
      </c>
      <c r="T34" s="18"/>
      <c r="U34" s="18"/>
      <c r="V34" s="18">
        <v>0</v>
      </c>
      <c r="W34" s="18"/>
      <c r="X34" s="18"/>
      <c r="Y34" s="18"/>
      <c r="Z34" s="18"/>
      <c r="AA34" s="18"/>
      <c r="AB34" s="18">
        <v>154</v>
      </c>
      <c r="AC34" s="18">
        <v>115</v>
      </c>
      <c r="AD34" s="18">
        <v>999.15</v>
      </c>
      <c r="AE34" s="18"/>
      <c r="AF34" s="18"/>
      <c r="AG34" s="18"/>
      <c r="AH34" s="18"/>
      <c r="AI34" s="57"/>
      <c r="AJ34" s="15"/>
      <c r="AK34" s="18"/>
      <c r="AL34" s="15"/>
      <c r="AM34" s="18">
        <v>21</v>
      </c>
      <c r="AN34" s="18">
        <f t="shared" si="2"/>
        <v>176.4</v>
      </c>
      <c r="AO34" s="18">
        <f t="shared" si="3"/>
        <v>21</v>
      </c>
      <c r="AP34" s="18">
        <f t="shared" si="4"/>
        <v>176.4</v>
      </c>
      <c r="AQ34" s="18">
        <v>0</v>
      </c>
      <c r="AR34" s="18">
        <v>0</v>
      </c>
      <c r="AS34" s="18"/>
      <c r="AT34" s="10"/>
      <c r="AU34" s="18"/>
      <c r="AV34" s="89"/>
      <c r="AW34" s="53"/>
    </row>
    <row r="35" spans="1:49" x14ac:dyDescent="0.15">
      <c r="A35" s="48">
        <v>62</v>
      </c>
      <c r="B35" s="6">
        <v>15931777</v>
      </c>
      <c r="C35" s="6" t="s">
        <v>121</v>
      </c>
      <c r="D35" s="46" t="s">
        <v>122</v>
      </c>
      <c r="E35" s="46">
        <v>2160</v>
      </c>
      <c r="F35" s="46" t="s">
        <v>54</v>
      </c>
      <c r="G35" s="46" t="s">
        <v>55</v>
      </c>
      <c r="H35" s="4">
        <v>44759</v>
      </c>
      <c r="I35" s="56"/>
      <c r="J35" s="14">
        <v>434000</v>
      </c>
      <c r="K35" s="60"/>
      <c r="L35" s="18">
        <f t="shared" si="0"/>
        <v>25316.666666666664</v>
      </c>
      <c r="M35" s="18">
        <f t="shared" si="1"/>
        <v>10849.999999999998</v>
      </c>
      <c r="N35" s="18">
        <f t="shared" si="7"/>
        <v>36166.666666666664</v>
      </c>
      <c r="O35" s="18">
        <v>15</v>
      </c>
      <c r="P35" s="18">
        <f t="shared" si="6"/>
        <v>5424.9999999999991</v>
      </c>
      <c r="Q35" s="18"/>
      <c r="R35" s="18"/>
      <c r="S35" s="18">
        <v>315</v>
      </c>
      <c r="T35" s="18"/>
      <c r="U35" s="18"/>
      <c r="V35" s="18">
        <v>0</v>
      </c>
      <c r="W35" s="18"/>
      <c r="X35" s="18"/>
      <c r="Y35" s="18"/>
      <c r="Z35" s="18"/>
      <c r="AA35" s="18"/>
      <c r="AB35" s="18">
        <v>154</v>
      </c>
      <c r="AC35" s="18">
        <v>115</v>
      </c>
      <c r="AD35" s="18">
        <v>832.38</v>
      </c>
      <c r="AE35" s="18"/>
      <c r="AF35" s="18"/>
      <c r="AG35" s="18"/>
      <c r="AH35" s="18"/>
      <c r="AI35" s="57"/>
      <c r="AJ35" s="15"/>
      <c r="AK35" s="18"/>
      <c r="AL35" s="15"/>
      <c r="AM35" s="18">
        <v>21</v>
      </c>
      <c r="AN35" s="18">
        <f t="shared" si="2"/>
        <v>176.4</v>
      </c>
      <c r="AO35" s="18">
        <f t="shared" si="3"/>
        <v>21</v>
      </c>
      <c r="AP35" s="18">
        <f t="shared" si="4"/>
        <v>176.4</v>
      </c>
      <c r="AQ35" s="18">
        <v>0</v>
      </c>
      <c r="AR35" s="18">
        <v>0</v>
      </c>
      <c r="AS35" s="18"/>
      <c r="AT35" s="10"/>
      <c r="AU35" s="18"/>
      <c r="AV35" s="89"/>
      <c r="AW35" s="53"/>
    </row>
    <row r="36" spans="1:49" x14ac:dyDescent="0.15">
      <c r="A36" s="48">
        <v>65</v>
      </c>
      <c r="B36" s="6">
        <v>333801231</v>
      </c>
      <c r="C36" s="6" t="s">
        <v>123</v>
      </c>
      <c r="D36" s="46" t="s">
        <v>124</v>
      </c>
      <c r="E36" s="46">
        <v>2160</v>
      </c>
      <c r="F36" s="46" t="s">
        <v>54</v>
      </c>
      <c r="G36" s="46" t="s">
        <v>55</v>
      </c>
      <c r="H36" s="4">
        <v>44774</v>
      </c>
      <c r="I36" s="56"/>
      <c r="J36" s="14">
        <v>726360</v>
      </c>
      <c r="K36" s="60"/>
      <c r="L36" s="18">
        <f t="shared" si="0"/>
        <v>42371</v>
      </c>
      <c r="M36" s="18">
        <f t="shared" si="1"/>
        <v>18159</v>
      </c>
      <c r="N36" s="18">
        <f t="shared" si="7"/>
        <v>60530</v>
      </c>
      <c r="O36" s="18">
        <v>10</v>
      </c>
      <c r="P36" s="18">
        <f t="shared" si="6"/>
        <v>6053</v>
      </c>
      <c r="Q36" s="18"/>
      <c r="R36" s="18"/>
      <c r="S36" s="18">
        <v>315</v>
      </c>
      <c r="T36" s="18"/>
      <c r="U36" s="18"/>
      <c r="V36" s="18">
        <v>0</v>
      </c>
      <c r="W36" s="18"/>
      <c r="X36" s="18"/>
      <c r="Y36" s="18"/>
      <c r="Z36" s="18"/>
      <c r="AA36" s="18"/>
      <c r="AB36" s="18">
        <v>154</v>
      </c>
      <c r="AC36" s="18">
        <v>115</v>
      </c>
      <c r="AD36" s="18">
        <v>999.5</v>
      </c>
      <c r="AE36" s="18"/>
      <c r="AF36" s="18"/>
      <c r="AG36" s="18"/>
      <c r="AH36" s="18"/>
      <c r="AI36" s="57"/>
      <c r="AJ36" s="15"/>
      <c r="AK36" s="18"/>
      <c r="AL36" s="15"/>
      <c r="AM36" s="18">
        <v>21</v>
      </c>
      <c r="AN36" s="18">
        <f t="shared" si="2"/>
        <v>176.4</v>
      </c>
      <c r="AO36" s="18">
        <f t="shared" si="3"/>
        <v>21</v>
      </c>
      <c r="AP36" s="18">
        <f t="shared" si="4"/>
        <v>176.4</v>
      </c>
      <c r="AQ36" s="18">
        <v>0</v>
      </c>
      <c r="AR36" s="18">
        <v>0</v>
      </c>
      <c r="AS36" s="18"/>
      <c r="AT36" s="10"/>
      <c r="AU36" s="18"/>
      <c r="AV36" s="89"/>
      <c r="AW36" s="53"/>
    </row>
    <row r="37" spans="1:49" x14ac:dyDescent="0.15">
      <c r="A37" s="48">
        <v>67</v>
      </c>
      <c r="B37" s="6">
        <v>32105199</v>
      </c>
      <c r="C37" s="6" t="s">
        <v>125</v>
      </c>
      <c r="D37" s="46" t="s">
        <v>126</v>
      </c>
      <c r="E37" s="46">
        <v>2160</v>
      </c>
      <c r="F37" s="46" t="s">
        <v>54</v>
      </c>
      <c r="G37" s="46" t="s">
        <v>55</v>
      </c>
      <c r="H37" s="4">
        <v>44774</v>
      </c>
      <c r="I37" s="56"/>
      <c r="J37" s="14">
        <v>470000</v>
      </c>
      <c r="K37" s="60"/>
      <c r="L37" s="18">
        <f t="shared" si="0"/>
        <v>27416.666666666664</v>
      </c>
      <c r="M37" s="18">
        <f t="shared" si="1"/>
        <v>11749.999999999998</v>
      </c>
      <c r="N37" s="18">
        <f t="shared" si="7"/>
        <v>39166.666666666664</v>
      </c>
      <c r="O37" s="18">
        <v>8</v>
      </c>
      <c r="P37" s="18">
        <f t="shared" si="6"/>
        <v>3133.333333333333</v>
      </c>
      <c r="Q37" s="18"/>
      <c r="R37" s="18"/>
      <c r="S37" s="18">
        <v>315</v>
      </c>
      <c r="T37" s="18"/>
      <c r="U37" s="18"/>
      <c r="V37" s="18">
        <v>0</v>
      </c>
      <c r="W37" s="18"/>
      <c r="X37" s="18"/>
      <c r="Y37" s="18"/>
      <c r="Z37" s="18"/>
      <c r="AA37" s="18"/>
      <c r="AB37" s="18">
        <v>154</v>
      </c>
      <c r="AC37" s="18">
        <v>115</v>
      </c>
      <c r="AD37" s="18">
        <v>965</v>
      </c>
      <c r="AE37" s="18"/>
      <c r="AF37" s="18"/>
      <c r="AG37" s="18"/>
      <c r="AH37" s="18"/>
      <c r="AI37" s="57"/>
      <c r="AJ37" s="15"/>
      <c r="AK37" s="18"/>
      <c r="AL37" s="15"/>
      <c r="AM37" s="18">
        <v>21</v>
      </c>
      <c r="AN37" s="18">
        <f t="shared" si="2"/>
        <v>176.4</v>
      </c>
      <c r="AO37" s="18">
        <f t="shared" si="3"/>
        <v>21</v>
      </c>
      <c r="AP37" s="18">
        <f t="shared" si="4"/>
        <v>176.4</v>
      </c>
      <c r="AQ37" s="18">
        <v>0</v>
      </c>
      <c r="AR37" s="18">
        <v>0</v>
      </c>
      <c r="AS37" s="18"/>
      <c r="AT37" s="10"/>
      <c r="AU37" s="18"/>
      <c r="AV37" s="89"/>
      <c r="AW37" s="53"/>
    </row>
    <row r="38" spans="1:49" x14ac:dyDescent="0.15">
      <c r="A38" s="48">
        <v>68</v>
      </c>
      <c r="B38" s="6">
        <v>34890491</v>
      </c>
      <c r="C38" s="6" t="s">
        <v>127</v>
      </c>
      <c r="D38" s="46" t="s">
        <v>128</v>
      </c>
      <c r="E38" s="46">
        <v>2160</v>
      </c>
      <c r="F38" s="46" t="s">
        <v>54</v>
      </c>
      <c r="G38" s="46" t="s">
        <v>55</v>
      </c>
      <c r="H38" s="4">
        <v>44780</v>
      </c>
      <c r="I38" s="56"/>
      <c r="J38" s="14">
        <v>634800</v>
      </c>
      <c r="K38" s="60"/>
      <c r="L38" s="18">
        <f t="shared" si="0"/>
        <v>37030</v>
      </c>
      <c r="M38" s="18">
        <f t="shared" si="1"/>
        <v>15870</v>
      </c>
      <c r="N38" s="18">
        <f t="shared" si="7"/>
        <v>52900</v>
      </c>
      <c r="O38" s="18">
        <v>10</v>
      </c>
      <c r="P38" s="18">
        <f t="shared" si="6"/>
        <v>5290</v>
      </c>
      <c r="Q38" s="18"/>
      <c r="R38" s="18"/>
      <c r="S38" s="18">
        <v>315</v>
      </c>
      <c r="T38" s="18"/>
      <c r="U38" s="18"/>
      <c r="V38" s="18">
        <v>0</v>
      </c>
      <c r="W38" s="18"/>
      <c r="X38" s="18"/>
      <c r="Y38" s="18"/>
      <c r="Z38" s="18"/>
      <c r="AA38" s="18"/>
      <c r="AB38" s="18">
        <v>154</v>
      </c>
      <c r="AC38" s="18">
        <v>115</v>
      </c>
      <c r="AD38" s="18">
        <v>1000</v>
      </c>
      <c r="AE38" s="18"/>
      <c r="AF38" s="18"/>
      <c r="AG38" s="18"/>
      <c r="AH38" s="18"/>
      <c r="AI38" s="57"/>
      <c r="AJ38" s="15"/>
      <c r="AK38" s="18"/>
      <c r="AL38" s="15"/>
      <c r="AM38" s="18">
        <v>21</v>
      </c>
      <c r="AN38" s="18">
        <f t="shared" si="2"/>
        <v>176.4</v>
      </c>
      <c r="AO38" s="18">
        <f t="shared" si="3"/>
        <v>21</v>
      </c>
      <c r="AP38" s="18">
        <f t="shared" si="4"/>
        <v>176.4</v>
      </c>
      <c r="AQ38" s="18">
        <v>0</v>
      </c>
      <c r="AR38" s="18">
        <v>0</v>
      </c>
      <c r="AS38" s="18"/>
      <c r="AT38" s="10"/>
      <c r="AU38" s="18"/>
      <c r="AV38" s="89"/>
      <c r="AW38" s="53"/>
    </row>
    <row r="39" spans="1:49" x14ac:dyDescent="0.15">
      <c r="A39" s="48">
        <v>69</v>
      </c>
      <c r="B39" s="6">
        <v>304603590</v>
      </c>
      <c r="C39" s="6" t="s">
        <v>129</v>
      </c>
      <c r="D39" s="46" t="s">
        <v>130</v>
      </c>
      <c r="E39" s="46">
        <v>2160</v>
      </c>
      <c r="F39" s="46" t="s">
        <v>54</v>
      </c>
      <c r="G39" s="46" t="s">
        <v>55</v>
      </c>
      <c r="H39" s="4">
        <v>44794</v>
      </c>
      <c r="I39" s="56"/>
      <c r="J39" s="14">
        <v>648240</v>
      </c>
      <c r="K39" s="60"/>
      <c r="L39" s="18">
        <f t="shared" si="0"/>
        <v>37814</v>
      </c>
      <c r="M39" s="18">
        <f t="shared" si="1"/>
        <v>16206</v>
      </c>
      <c r="N39" s="18">
        <f t="shared" si="7"/>
        <v>54020</v>
      </c>
      <c r="O39" s="18">
        <v>15</v>
      </c>
      <c r="P39" s="18">
        <f t="shared" si="6"/>
        <v>8103</v>
      </c>
      <c r="Q39" s="18"/>
      <c r="R39" s="18"/>
      <c r="S39" s="18">
        <v>315</v>
      </c>
      <c r="T39" s="18"/>
      <c r="U39" s="18"/>
      <c r="V39" s="18">
        <v>0</v>
      </c>
      <c r="W39" s="18"/>
      <c r="X39" s="18"/>
      <c r="Y39" s="18"/>
      <c r="Z39" s="18"/>
      <c r="AA39" s="18"/>
      <c r="AB39" s="18">
        <v>154</v>
      </c>
      <c r="AC39" s="18">
        <v>115</v>
      </c>
      <c r="AD39" s="18">
        <v>1000</v>
      </c>
      <c r="AE39" s="18"/>
      <c r="AF39" s="18"/>
      <c r="AG39" s="18"/>
      <c r="AH39" s="18"/>
      <c r="AI39" s="57"/>
      <c r="AJ39" s="15"/>
      <c r="AK39" s="18"/>
      <c r="AL39" s="15"/>
      <c r="AM39" s="18">
        <v>21</v>
      </c>
      <c r="AN39" s="18">
        <f t="shared" si="2"/>
        <v>176.4</v>
      </c>
      <c r="AO39" s="18">
        <f t="shared" si="3"/>
        <v>21</v>
      </c>
      <c r="AP39" s="18">
        <f t="shared" si="4"/>
        <v>176.4</v>
      </c>
      <c r="AQ39" s="18">
        <v>0</v>
      </c>
      <c r="AR39" s="18">
        <v>0</v>
      </c>
      <c r="AS39" s="18"/>
      <c r="AT39" s="10"/>
      <c r="AU39" s="18"/>
      <c r="AV39" s="89"/>
      <c r="AW39" s="53"/>
    </row>
    <row r="40" spans="1:49" x14ac:dyDescent="0.15">
      <c r="A40" s="48">
        <v>76</v>
      </c>
      <c r="B40" s="6">
        <v>39076492</v>
      </c>
      <c r="C40" s="6" t="s">
        <v>131</v>
      </c>
      <c r="D40" s="46" t="s">
        <v>132</v>
      </c>
      <c r="E40" s="46">
        <v>2885</v>
      </c>
      <c r="F40" s="46" t="s">
        <v>54</v>
      </c>
      <c r="G40" s="46" t="s">
        <v>55</v>
      </c>
      <c r="H40" s="4">
        <v>44805</v>
      </c>
      <c r="I40" s="56"/>
      <c r="J40" s="14">
        <v>551655</v>
      </c>
      <c r="K40" s="60"/>
      <c r="L40" s="18">
        <f t="shared" si="0"/>
        <v>32179.874999999996</v>
      </c>
      <c r="M40" s="18">
        <f t="shared" si="1"/>
        <v>13791.375</v>
      </c>
      <c r="N40" s="18">
        <f t="shared" si="7"/>
        <v>45971.25</v>
      </c>
      <c r="O40" s="18">
        <v>15</v>
      </c>
      <c r="P40" s="18">
        <f t="shared" si="6"/>
        <v>6895.6875</v>
      </c>
      <c r="Q40" s="18"/>
      <c r="R40" s="18"/>
      <c r="S40" s="18">
        <v>315</v>
      </c>
      <c r="T40" s="18"/>
      <c r="U40" s="18"/>
      <c r="V40" s="18">
        <v>0</v>
      </c>
      <c r="W40" s="18"/>
      <c r="X40" s="18"/>
      <c r="Y40" s="18"/>
      <c r="Z40" s="18"/>
      <c r="AA40" s="18"/>
      <c r="AB40" s="18">
        <v>154</v>
      </c>
      <c r="AC40" s="18">
        <v>115</v>
      </c>
      <c r="AD40" s="18">
        <v>985.3</v>
      </c>
      <c r="AE40" s="18"/>
      <c r="AF40" s="18"/>
      <c r="AG40" s="18"/>
      <c r="AH40" s="18"/>
      <c r="AI40" s="57"/>
      <c r="AJ40" s="15"/>
      <c r="AK40" s="18"/>
      <c r="AL40" s="15"/>
      <c r="AM40" s="18">
        <v>21</v>
      </c>
      <c r="AN40" s="18">
        <f t="shared" si="2"/>
        <v>176.4</v>
      </c>
      <c r="AO40" s="18">
        <f t="shared" si="3"/>
        <v>20</v>
      </c>
      <c r="AP40" s="18">
        <f t="shared" si="4"/>
        <v>168</v>
      </c>
      <c r="AQ40" s="18">
        <v>1</v>
      </c>
      <c r="AR40" s="18">
        <v>0</v>
      </c>
      <c r="AS40" s="18"/>
      <c r="AT40" s="10"/>
      <c r="AU40" s="18">
        <v>350</v>
      </c>
      <c r="AV40" s="89"/>
      <c r="AW40" s="53"/>
    </row>
    <row r="41" spans="1:49" x14ac:dyDescent="0.15">
      <c r="A41" s="48">
        <v>71</v>
      </c>
      <c r="B41" s="6">
        <v>207866625</v>
      </c>
      <c r="C41" s="6" t="s">
        <v>133</v>
      </c>
      <c r="D41" s="46" t="s">
        <v>134</v>
      </c>
      <c r="E41" s="46">
        <v>2885</v>
      </c>
      <c r="F41" s="60" t="s">
        <v>135</v>
      </c>
      <c r="G41" s="46" t="s">
        <v>55</v>
      </c>
      <c r="H41" s="4">
        <v>44805</v>
      </c>
      <c r="I41" s="56"/>
      <c r="J41" s="14">
        <v>233617.65</v>
      </c>
      <c r="K41" s="60" t="s">
        <v>135</v>
      </c>
      <c r="L41" s="18">
        <f t="shared" si="0"/>
        <v>13627.696249999999</v>
      </c>
      <c r="M41" s="18">
        <f t="shared" si="1"/>
        <v>5840.4412499999999</v>
      </c>
      <c r="N41" s="18">
        <f t="shared" si="7"/>
        <v>19468.137499999997</v>
      </c>
      <c r="O41" s="18">
        <v>15</v>
      </c>
      <c r="P41" s="18">
        <f t="shared" si="6"/>
        <v>2920.2206249999995</v>
      </c>
      <c r="Q41" s="18"/>
      <c r="R41" s="18"/>
      <c r="S41" s="18">
        <v>315</v>
      </c>
      <c r="T41" s="18"/>
      <c r="U41" s="18"/>
      <c r="V41" s="18">
        <v>0</v>
      </c>
      <c r="W41" s="18"/>
      <c r="X41" s="18"/>
      <c r="Y41" s="18"/>
      <c r="Z41" s="18"/>
      <c r="AA41" s="18"/>
      <c r="AB41" s="18">
        <v>154</v>
      </c>
      <c r="AC41" s="18">
        <v>115</v>
      </c>
      <c r="AD41" s="18">
        <v>5</v>
      </c>
      <c r="AE41" s="18"/>
      <c r="AF41" s="18"/>
      <c r="AG41" s="18"/>
      <c r="AH41" s="18"/>
      <c r="AI41" s="57"/>
      <c r="AJ41" s="15"/>
      <c r="AK41" s="18"/>
      <c r="AL41" s="15"/>
      <c r="AM41" s="18">
        <v>21</v>
      </c>
      <c r="AN41" s="18">
        <f t="shared" si="2"/>
        <v>176.4</v>
      </c>
      <c r="AO41" s="18">
        <f t="shared" si="3"/>
        <v>21</v>
      </c>
      <c r="AP41" s="18">
        <f t="shared" si="4"/>
        <v>176.4</v>
      </c>
      <c r="AQ41" s="18">
        <v>0</v>
      </c>
      <c r="AR41" s="18">
        <v>0</v>
      </c>
      <c r="AS41" s="18"/>
      <c r="AT41" s="10"/>
      <c r="AU41" s="18"/>
      <c r="AV41" s="89"/>
      <c r="AW41" s="53"/>
    </row>
    <row r="42" spans="1:49" x14ac:dyDescent="0.15">
      <c r="A42" s="48">
        <v>77</v>
      </c>
      <c r="B42" s="6">
        <v>25197153</v>
      </c>
      <c r="C42" s="6" t="s">
        <v>136</v>
      </c>
      <c r="D42" s="46" t="s">
        <v>137</v>
      </c>
      <c r="E42" s="46">
        <v>2160</v>
      </c>
      <c r="F42" s="46" t="s">
        <v>54</v>
      </c>
      <c r="G42" s="46" t="s">
        <v>55</v>
      </c>
      <c r="H42" s="4">
        <v>44805</v>
      </c>
      <c r="I42" s="56"/>
      <c r="J42" s="14">
        <v>656000</v>
      </c>
      <c r="K42" s="60"/>
      <c r="L42" s="18">
        <f t="shared" si="0"/>
        <v>38266.666666666664</v>
      </c>
      <c r="M42" s="18">
        <f t="shared" si="1"/>
        <v>16400</v>
      </c>
      <c r="N42" s="18">
        <f t="shared" si="7"/>
        <v>54666.666666666664</v>
      </c>
      <c r="O42" s="18">
        <v>10</v>
      </c>
      <c r="P42" s="18">
        <f t="shared" si="6"/>
        <v>5466.666666666667</v>
      </c>
      <c r="Q42" s="18"/>
      <c r="R42" s="18"/>
      <c r="S42" s="18">
        <v>315</v>
      </c>
      <c r="T42" s="18"/>
      <c r="U42" s="18"/>
      <c r="V42" s="18">
        <v>0</v>
      </c>
      <c r="W42" s="18"/>
      <c r="X42" s="18"/>
      <c r="Y42" s="18"/>
      <c r="Z42" s="18"/>
      <c r="AA42" s="18"/>
      <c r="AB42" s="18">
        <v>154</v>
      </c>
      <c r="AC42" s="18">
        <v>115</v>
      </c>
      <c r="AD42" s="18">
        <v>997</v>
      </c>
      <c r="AE42" s="18"/>
      <c r="AF42" s="18"/>
      <c r="AG42" s="18"/>
      <c r="AH42" s="18"/>
      <c r="AI42" s="57"/>
      <c r="AJ42" s="15"/>
      <c r="AK42" s="18"/>
      <c r="AL42" s="15"/>
      <c r="AM42" s="18">
        <v>21</v>
      </c>
      <c r="AN42" s="18">
        <f t="shared" si="2"/>
        <v>176.4</v>
      </c>
      <c r="AO42" s="18">
        <f t="shared" si="3"/>
        <v>8</v>
      </c>
      <c r="AP42" s="18">
        <f t="shared" si="4"/>
        <v>67.2</v>
      </c>
      <c r="AQ42" s="18">
        <v>13</v>
      </c>
      <c r="AR42" s="18">
        <v>0</v>
      </c>
      <c r="AS42" s="18"/>
      <c r="AT42" s="10"/>
      <c r="AU42" s="18">
        <v>100</v>
      </c>
      <c r="AV42" s="89"/>
      <c r="AW42" s="53"/>
    </row>
    <row r="43" spans="1:49" x14ac:dyDescent="0.15">
      <c r="A43" s="48">
        <v>74</v>
      </c>
      <c r="B43" s="6">
        <v>316462597</v>
      </c>
      <c r="C43" s="6" t="s">
        <v>138</v>
      </c>
      <c r="D43" s="46" t="s">
        <v>139</v>
      </c>
      <c r="E43" s="46">
        <v>2160</v>
      </c>
      <c r="F43" s="46" t="s">
        <v>54</v>
      </c>
      <c r="G43" s="46" t="s">
        <v>55</v>
      </c>
      <c r="H43" s="4">
        <v>44805</v>
      </c>
      <c r="I43" s="56"/>
      <c r="J43" s="14">
        <v>403082</v>
      </c>
      <c r="K43" s="60"/>
      <c r="L43" s="18">
        <f t="shared" si="0"/>
        <v>23513.116666666665</v>
      </c>
      <c r="M43" s="18">
        <f t="shared" si="1"/>
        <v>10077.049999999999</v>
      </c>
      <c r="N43" s="18">
        <f t="shared" si="7"/>
        <v>33590.166666666664</v>
      </c>
      <c r="O43" s="18">
        <v>15</v>
      </c>
      <c r="P43" s="18">
        <f t="shared" si="6"/>
        <v>5038.5249999999996</v>
      </c>
      <c r="Q43" s="18"/>
      <c r="R43" s="18"/>
      <c r="S43" s="18">
        <v>315</v>
      </c>
      <c r="T43" s="18"/>
      <c r="U43" s="18"/>
      <c r="V43" s="18">
        <v>0</v>
      </c>
      <c r="W43" s="18"/>
      <c r="X43" s="18"/>
      <c r="Y43" s="18"/>
      <c r="Z43" s="18"/>
      <c r="AA43" s="18"/>
      <c r="AB43" s="18">
        <v>154</v>
      </c>
      <c r="AC43" s="18">
        <v>115</v>
      </c>
      <c r="AD43" s="18">
        <v>999.27</v>
      </c>
      <c r="AE43" s="18"/>
      <c r="AF43" s="18"/>
      <c r="AG43" s="18"/>
      <c r="AH43" s="18"/>
      <c r="AI43" s="57"/>
      <c r="AJ43" s="15"/>
      <c r="AK43" s="18"/>
      <c r="AL43" s="15"/>
      <c r="AM43" s="18">
        <v>21</v>
      </c>
      <c r="AN43" s="18">
        <f t="shared" si="2"/>
        <v>176.4</v>
      </c>
      <c r="AO43" s="18">
        <f t="shared" si="3"/>
        <v>21</v>
      </c>
      <c r="AP43" s="18">
        <f t="shared" si="4"/>
        <v>176.4</v>
      </c>
      <c r="AQ43" s="18">
        <v>0</v>
      </c>
      <c r="AR43" s="18">
        <v>0</v>
      </c>
      <c r="AS43" s="18"/>
      <c r="AT43" s="10"/>
      <c r="AU43" s="18"/>
      <c r="AV43" s="89"/>
      <c r="AW43" s="53"/>
    </row>
    <row r="44" spans="1:49" x14ac:dyDescent="0.15">
      <c r="A44" s="48">
        <v>70</v>
      </c>
      <c r="B44" s="6">
        <v>43163146</v>
      </c>
      <c r="C44" s="6" t="s">
        <v>140</v>
      </c>
      <c r="D44" s="46" t="s">
        <v>141</v>
      </c>
      <c r="E44" s="46">
        <v>2410</v>
      </c>
      <c r="F44" s="46" t="s">
        <v>54</v>
      </c>
      <c r="G44" s="46" t="s">
        <v>55</v>
      </c>
      <c r="H44" s="4">
        <v>44808</v>
      </c>
      <c r="I44" s="56"/>
      <c r="J44" s="14">
        <v>616240</v>
      </c>
      <c r="K44" s="60"/>
      <c r="L44" s="18">
        <f t="shared" si="0"/>
        <v>35947.333333333336</v>
      </c>
      <c r="M44" s="18">
        <f t="shared" si="1"/>
        <v>15406</v>
      </c>
      <c r="N44" s="18">
        <f t="shared" si="7"/>
        <v>51353.333333333336</v>
      </c>
      <c r="O44" s="18">
        <v>10</v>
      </c>
      <c r="P44" s="18">
        <f t="shared" si="6"/>
        <v>5135.3333333333339</v>
      </c>
      <c r="Q44" s="18"/>
      <c r="R44" s="18"/>
      <c r="S44" s="18">
        <v>315</v>
      </c>
      <c r="T44" s="18"/>
      <c r="U44" s="18"/>
      <c r="V44" s="18">
        <v>0</v>
      </c>
      <c r="W44" s="18"/>
      <c r="X44" s="18"/>
      <c r="Y44" s="18"/>
      <c r="Z44" s="18"/>
      <c r="AA44" s="18"/>
      <c r="AB44" s="18">
        <v>154</v>
      </c>
      <c r="AC44" s="18">
        <v>115</v>
      </c>
      <c r="AD44" s="18">
        <v>830.78</v>
      </c>
      <c r="AE44" s="18"/>
      <c r="AF44" s="18"/>
      <c r="AG44" s="18"/>
      <c r="AH44" s="18"/>
      <c r="AI44" s="57"/>
      <c r="AJ44" s="15"/>
      <c r="AK44" s="18"/>
      <c r="AL44" s="15"/>
      <c r="AM44" s="18">
        <v>21</v>
      </c>
      <c r="AN44" s="18">
        <f t="shared" si="2"/>
        <v>176.4</v>
      </c>
      <c r="AO44" s="18">
        <f t="shared" si="3"/>
        <v>21</v>
      </c>
      <c r="AP44" s="18">
        <f t="shared" si="4"/>
        <v>176.4</v>
      </c>
      <c r="AQ44" s="18">
        <v>0</v>
      </c>
      <c r="AR44" s="18">
        <v>0</v>
      </c>
      <c r="AS44" s="18"/>
      <c r="AT44" s="10"/>
      <c r="AU44" s="18"/>
      <c r="AV44" s="89"/>
      <c r="AW44" s="53"/>
    </row>
    <row r="45" spans="1:49" x14ac:dyDescent="0.15">
      <c r="A45" s="48">
        <v>72</v>
      </c>
      <c r="B45" s="6">
        <v>28831709</v>
      </c>
      <c r="C45" s="6" t="s">
        <v>142</v>
      </c>
      <c r="D45" s="46" t="s">
        <v>143</v>
      </c>
      <c r="E45" s="46">
        <v>2160</v>
      </c>
      <c r="F45" s="46" t="s">
        <v>54</v>
      </c>
      <c r="G45" s="46" t="s">
        <v>55</v>
      </c>
      <c r="H45" s="4">
        <v>44809</v>
      </c>
      <c r="I45" s="56"/>
      <c r="J45" s="14">
        <v>1060582.6399999999</v>
      </c>
      <c r="K45" s="60"/>
      <c r="L45" s="18">
        <f t="shared" si="0"/>
        <v>61867.320666666659</v>
      </c>
      <c r="M45" s="18">
        <f t="shared" si="1"/>
        <v>26514.565999999995</v>
      </c>
      <c r="N45" s="18">
        <f t="shared" si="7"/>
        <v>88381.886666666658</v>
      </c>
      <c r="O45" s="18">
        <v>10</v>
      </c>
      <c r="P45" s="18">
        <f t="shared" si="6"/>
        <v>8838.1886666666669</v>
      </c>
      <c r="Q45" s="18"/>
      <c r="R45" s="18"/>
      <c r="S45" s="18">
        <v>315</v>
      </c>
      <c r="T45" s="18"/>
      <c r="U45" s="18"/>
      <c r="V45" s="18">
        <v>0</v>
      </c>
      <c r="W45" s="18"/>
      <c r="X45" s="18"/>
      <c r="Y45" s="18"/>
      <c r="Z45" s="18"/>
      <c r="AA45" s="18"/>
      <c r="AB45" s="18">
        <v>154</v>
      </c>
      <c r="AC45" s="18">
        <v>115</v>
      </c>
      <c r="AD45" s="18">
        <v>0</v>
      </c>
      <c r="AE45" s="18"/>
      <c r="AF45" s="18"/>
      <c r="AG45" s="18"/>
      <c r="AH45" s="18"/>
      <c r="AI45" s="57"/>
      <c r="AJ45" s="15"/>
      <c r="AK45" s="18"/>
      <c r="AL45" s="15"/>
      <c r="AM45" s="18">
        <v>21</v>
      </c>
      <c r="AN45" s="18">
        <f t="shared" si="2"/>
        <v>176.4</v>
      </c>
      <c r="AO45" s="18">
        <f t="shared" si="3"/>
        <v>21</v>
      </c>
      <c r="AP45" s="18">
        <f t="shared" si="4"/>
        <v>176.4</v>
      </c>
      <c r="AQ45" s="18">
        <v>0</v>
      </c>
      <c r="AR45" s="18">
        <v>0</v>
      </c>
      <c r="AS45" s="18"/>
      <c r="AT45" s="10"/>
      <c r="AU45" s="18"/>
      <c r="AV45" s="89"/>
      <c r="AW45" s="53"/>
    </row>
    <row r="46" spans="1:49" x14ac:dyDescent="0.15">
      <c r="A46" s="48">
        <v>73</v>
      </c>
      <c r="B46" s="6">
        <v>38553186</v>
      </c>
      <c r="C46" s="6" t="s">
        <v>144</v>
      </c>
      <c r="D46" s="46" t="s">
        <v>145</v>
      </c>
      <c r="E46" s="46">
        <v>2160</v>
      </c>
      <c r="F46" s="46" t="s">
        <v>54</v>
      </c>
      <c r="G46" s="46" t="s">
        <v>55</v>
      </c>
      <c r="H46" s="4">
        <v>44815</v>
      </c>
      <c r="I46" s="56"/>
      <c r="J46" s="14">
        <v>667000</v>
      </c>
      <c r="K46" s="60"/>
      <c r="L46" s="18">
        <f t="shared" si="0"/>
        <v>38908.333333333336</v>
      </c>
      <c r="M46" s="18">
        <f t="shared" si="1"/>
        <v>16675</v>
      </c>
      <c r="N46" s="18">
        <f t="shared" si="7"/>
        <v>55583.333333333336</v>
      </c>
      <c r="O46" s="18">
        <v>14</v>
      </c>
      <c r="P46" s="18">
        <f t="shared" si="6"/>
        <v>7781.6666666666679</v>
      </c>
      <c r="Q46" s="18"/>
      <c r="R46" s="18"/>
      <c r="S46" s="18">
        <v>315</v>
      </c>
      <c r="T46" s="18"/>
      <c r="U46" s="18"/>
      <c r="V46" s="18">
        <v>0</v>
      </c>
      <c r="W46" s="18"/>
      <c r="X46" s="18"/>
      <c r="Y46" s="18"/>
      <c r="Z46" s="18"/>
      <c r="AA46" s="18"/>
      <c r="AB46" s="18">
        <v>154</v>
      </c>
      <c r="AC46" s="18">
        <v>115</v>
      </c>
      <c r="AD46" s="18">
        <v>1000</v>
      </c>
      <c r="AE46" s="18"/>
      <c r="AF46" s="18"/>
      <c r="AG46" s="18"/>
      <c r="AH46" s="18"/>
      <c r="AI46" s="57"/>
      <c r="AJ46" s="15"/>
      <c r="AK46" s="18"/>
      <c r="AL46" s="15"/>
      <c r="AM46" s="18">
        <v>21</v>
      </c>
      <c r="AN46" s="18">
        <f t="shared" si="2"/>
        <v>176.4</v>
      </c>
      <c r="AO46" s="18">
        <f t="shared" si="3"/>
        <v>20</v>
      </c>
      <c r="AP46" s="18">
        <f t="shared" si="4"/>
        <v>168</v>
      </c>
      <c r="AQ46" s="18">
        <v>1</v>
      </c>
      <c r="AR46" s="18">
        <v>0</v>
      </c>
      <c r="AS46" s="18"/>
      <c r="AT46" s="10"/>
      <c r="AU46" s="18"/>
      <c r="AV46" s="89"/>
      <c r="AW46" s="53"/>
    </row>
    <row r="47" spans="1:49" x14ac:dyDescent="0.15">
      <c r="A47" s="48">
        <v>78</v>
      </c>
      <c r="B47" s="6">
        <v>314829532</v>
      </c>
      <c r="C47" s="6" t="s">
        <v>146</v>
      </c>
      <c r="D47" s="46" t="s">
        <v>147</v>
      </c>
      <c r="E47" s="46">
        <v>2885</v>
      </c>
      <c r="F47" s="46" t="s">
        <v>54</v>
      </c>
      <c r="G47" s="46" t="s">
        <v>55</v>
      </c>
      <c r="H47" s="4">
        <v>44822</v>
      </c>
      <c r="I47" s="56"/>
      <c r="J47" s="14">
        <v>492808</v>
      </c>
      <c r="K47" s="60"/>
      <c r="L47" s="18">
        <f t="shared" si="0"/>
        <v>28747.133333333331</v>
      </c>
      <c r="M47" s="18">
        <f t="shared" si="1"/>
        <v>12320.2</v>
      </c>
      <c r="N47" s="18">
        <f t="shared" si="7"/>
        <v>41067.333333333328</v>
      </c>
      <c r="O47" s="18">
        <v>15</v>
      </c>
      <c r="P47" s="18">
        <f t="shared" si="6"/>
        <v>6160.0999999999995</v>
      </c>
      <c r="Q47" s="18"/>
      <c r="R47" s="18"/>
      <c r="S47" s="18">
        <v>315</v>
      </c>
      <c r="T47" s="18"/>
      <c r="U47" s="18"/>
      <c r="V47" s="18">
        <v>0</v>
      </c>
      <c r="W47" s="18"/>
      <c r="X47" s="18"/>
      <c r="Y47" s="18"/>
      <c r="Z47" s="18"/>
      <c r="AA47" s="18"/>
      <c r="AB47" s="18">
        <v>154</v>
      </c>
      <c r="AC47" s="18">
        <v>115</v>
      </c>
      <c r="AD47" s="18">
        <v>1000</v>
      </c>
      <c r="AE47" s="18"/>
      <c r="AF47" s="18"/>
      <c r="AG47" s="18"/>
      <c r="AH47" s="18"/>
      <c r="AI47" s="57"/>
      <c r="AJ47" s="15"/>
      <c r="AK47" s="18"/>
      <c r="AL47" s="15"/>
      <c r="AM47" s="18">
        <v>21</v>
      </c>
      <c r="AN47" s="18">
        <f t="shared" si="2"/>
        <v>176.4</v>
      </c>
      <c r="AO47" s="18">
        <f t="shared" si="3"/>
        <v>7</v>
      </c>
      <c r="AP47" s="18">
        <f t="shared" si="4"/>
        <v>58.800000000000004</v>
      </c>
      <c r="AQ47" s="18">
        <v>14</v>
      </c>
      <c r="AR47" s="18">
        <v>0</v>
      </c>
      <c r="AS47" s="18"/>
      <c r="AT47" s="10"/>
      <c r="AU47" s="18"/>
      <c r="AV47" s="89"/>
      <c r="AW47" s="53"/>
    </row>
    <row r="48" spans="1:49" x14ac:dyDescent="0.15">
      <c r="A48" s="48">
        <v>80</v>
      </c>
      <c r="B48" s="6">
        <v>304332992</v>
      </c>
      <c r="C48" s="6" t="s">
        <v>148</v>
      </c>
      <c r="D48" s="46" t="s">
        <v>149</v>
      </c>
      <c r="E48" s="46">
        <v>2160</v>
      </c>
      <c r="F48" s="46" t="s">
        <v>54</v>
      </c>
      <c r="G48" s="46" t="s">
        <v>55</v>
      </c>
      <c r="H48" s="4">
        <v>44832</v>
      </c>
      <c r="I48" s="56"/>
      <c r="J48" s="14">
        <v>718000</v>
      </c>
      <c r="K48" s="60"/>
      <c r="L48" s="18">
        <f t="shared" si="0"/>
        <v>41883.333333333336</v>
      </c>
      <c r="M48" s="18">
        <f t="shared" si="1"/>
        <v>17950</v>
      </c>
      <c r="N48" s="18">
        <f t="shared" si="7"/>
        <v>59833.333333333336</v>
      </c>
      <c r="O48" s="8">
        <v>10</v>
      </c>
      <c r="P48" s="18">
        <f t="shared" si="6"/>
        <v>5983.3333333333339</v>
      </c>
      <c r="Q48" s="18"/>
      <c r="R48" s="18"/>
      <c r="S48" s="18">
        <v>315</v>
      </c>
      <c r="T48" s="18"/>
      <c r="U48" s="18"/>
      <c r="V48" s="18">
        <v>0</v>
      </c>
      <c r="W48" s="18"/>
      <c r="X48" s="18"/>
      <c r="Y48" s="18"/>
      <c r="Z48" s="18"/>
      <c r="AA48" s="18"/>
      <c r="AB48" s="18">
        <v>154</v>
      </c>
      <c r="AC48" s="18">
        <v>115</v>
      </c>
      <c r="AD48" s="18">
        <v>999.9</v>
      </c>
      <c r="AE48" s="18"/>
      <c r="AF48" s="18"/>
      <c r="AG48" s="18"/>
      <c r="AH48" s="18"/>
      <c r="AI48" s="57"/>
      <c r="AJ48" s="15"/>
      <c r="AK48" s="18"/>
      <c r="AL48" s="15"/>
      <c r="AM48" s="18">
        <v>21</v>
      </c>
      <c r="AN48" s="18">
        <f t="shared" si="2"/>
        <v>176.4</v>
      </c>
      <c r="AO48" s="18">
        <f t="shared" si="3"/>
        <v>21</v>
      </c>
      <c r="AP48" s="18">
        <f t="shared" si="4"/>
        <v>176.4</v>
      </c>
      <c r="AQ48" s="18">
        <v>0</v>
      </c>
      <c r="AR48" s="18">
        <v>0</v>
      </c>
      <c r="AS48" s="18"/>
      <c r="AT48" s="10"/>
      <c r="AU48" s="18"/>
      <c r="AV48" s="89"/>
      <c r="AW48" s="53"/>
    </row>
    <row r="49" spans="1:51" x14ac:dyDescent="0.15">
      <c r="A49" s="48">
        <v>81</v>
      </c>
      <c r="B49" s="6">
        <v>33574153</v>
      </c>
      <c r="C49" s="6" t="s">
        <v>150</v>
      </c>
      <c r="D49" s="46" t="s">
        <v>151</v>
      </c>
      <c r="E49" s="46">
        <v>2160</v>
      </c>
      <c r="F49" s="46" t="s">
        <v>54</v>
      </c>
      <c r="G49" s="46" t="s">
        <v>55</v>
      </c>
      <c r="H49" s="4">
        <v>44847</v>
      </c>
      <c r="I49" s="56"/>
      <c r="J49" s="14">
        <v>752000</v>
      </c>
      <c r="K49" s="60"/>
      <c r="L49" s="18">
        <f t="shared" si="0"/>
        <v>43866.666666666664</v>
      </c>
      <c r="M49" s="18">
        <f t="shared" si="1"/>
        <v>18800</v>
      </c>
      <c r="N49" s="18">
        <f t="shared" si="7"/>
        <v>62666.666666666664</v>
      </c>
      <c r="O49" s="18">
        <v>10</v>
      </c>
      <c r="P49" s="18">
        <f t="shared" si="6"/>
        <v>6266.666666666667</v>
      </c>
      <c r="Q49" s="18"/>
      <c r="R49" s="18"/>
      <c r="S49" s="18">
        <v>315</v>
      </c>
      <c r="T49" s="18"/>
      <c r="U49" s="18"/>
      <c r="V49" s="18">
        <v>0</v>
      </c>
      <c r="W49" s="18"/>
      <c r="X49" s="18"/>
      <c r="Y49" s="18"/>
      <c r="Z49" s="18"/>
      <c r="AA49" s="18"/>
      <c r="AB49" s="18">
        <v>154</v>
      </c>
      <c r="AC49" s="18">
        <v>115</v>
      </c>
      <c r="AD49" s="18">
        <v>994</v>
      </c>
      <c r="AE49" s="18"/>
      <c r="AF49" s="18"/>
      <c r="AG49" s="18"/>
      <c r="AH49" s="18"/>
      <c r="AI49" s="57"/>
      <c r="AJ49" s="15"/>
      <c r="AK49" s="18"/>
      <c r="AL49" s="15"/>
      <c r="AM49" s="18">
        <v>21</v>
      </c>
      <c r="AN49" s="18">
        <f t="shared" si="2"/>
        <v>176.4</v>
      </c>
      <c r="AO49" s="18">
        <f t="shared" si="3"/>
        <v>21</v>
      </c>
      <c r="AP49" s="18">
        <f t="shared" si="4"/>
        <v>176.4</v>
      </c>
      <c r="AQ49" s="18">
        <v>0</v>
      </c>
      <c r="AR49" s="18">
        <v>0</v>
      </c>
      <c r="AS49" s="18"/>
      <c r="AT49" s="10"/>
      <c r="AU49" s="18">
        <v>300</v>
      </c>
      <c r="AV49" s="89"/>
      <c r="AW49" s="53"/>
    </row>
    <row r="50" spans="1:51" s="90" customFormat="1" x14ac:dyDescent="0.15">
      <c r="A50" s="48">
        <v>82</v>
      </c>
      <c r="B50" s="6">
        <v>22992150</v>
      </c>
      <c r="C50" s="6" t="s">
        <v>152</v>
      </c>
      <c r="D50" s="54" t="s">
        <v>153</v>
      </c>
      <c r="E50" s="46">
        <v>2540</v>
      </c>
      <c r="F50" s="46" t="s">
        <v>54</v>
      </c>
      <c r="G50" s="46" t="s">
        <v>55</v>
      </c>
      <c r="H50" s="4">
        <v>44852</v>
      </c>
      <c r="I50" s="56"/>
      <c r="J50" s="14">
        <v>850731.9</v>
      </c>
      <c r="K50" s="60"/>
      <c r="L50" s="18">
        <f t="shared" si="0"/>
        <v>49626.027499999997</v>
      </c>
      <c r="M50" s="18">
        <f t="shared" si="1"/>
        <v>21268.297499999997</v>
      </c>
      <c r="N50" s="18">
        <f t="shared" si="7"/>
        <v>70894.324999999997</v>
      </c>
      <c r="O50" s="18">
        <v>10</v>
      </c>
      <c r="P50" s="18">
        <f t="shared" si="6"/>
        <v>7089.4324999999999</v>
      </c>
      <c r="Q50" s="18"/>
      <c r="R50" s="18"/>
      <c r="S50" s="18">
        <v>315</v>
      </c>
      <c r="T50" s="18"/>
      <c r="U50" s="18"/>
      <c r="V50" s="18">
        <v>0</v>
      </c>
      <c r="W50" s="18"/>
      <c r="X50" s="18"/>
      <c r="Y50" s="18"/>
      <c r="Z50" s="18"/>
      <c r="AA50" s="18"/>
      <c r="AB50" s="18">
        <v>154</v>
      </c>
      <c r="AC50" s="18">
        <v>115</v>
      </c>
      <c r="AD50" s="18">
        <v>994.68</v>
      </c>
      <c r="AE50" s="18"/>
      <c r="AF50" s="18"/>
      <c r="AG50" s="18"/>
      <c r="AH50" s="18"/>
      <c r="AI50" s="57"/>
      <c r="AJ50" s="15"/>
      <c r="AK50" s="18"/>
      <c r="AL50" s="15"/>
      <c r="AM50" s="18">
        <v>21</v>
      </c>
      <c r="AN50" s="18">
        <f t="shared" si="2"/>
        <v>176.4</v>
      </c>
      <c r="AO50" s="18">
        <f t="shared" si="3"/>
        <v>21</v>
      </c>
      <c r="AP50" s="18">
        <f t="shared" si="4"/>
        <v>176.4</v>
      </c>
      <c r="AQ50" s="18">
        <v>0</v>
      </c>
      <c r="AR50" s="18">
        <v>0</v>
      </c>
      <c r="AS50" s="18"/>
      <c r="AT50" s="12"/>
      <c r="AU50" s="18"/>
      <c r="AV50" s="89"/>
      <c r="AW50" s="53"/>
      <c r="AY50" s="62"/>
    </row>
    <row r="51" spans="1:51" x14ac:dyDescent="0.15">
      <c r="A51" s="48">
        <v>83</v>
      </c>
      <c r="B51" s="6">
        <v>34273748</v>
      </c>
      <c r="C51" s="6" t="s">
        <v>154</v>
      </c>
      <c r="D51" s="46" t="s">
        <v>155</v>
      </c>
      <c r="E51" s="46">
        <v>2160</v>
      </c>
      <c r="F51" s="46" t="s">
        <v>54</v>
      </c>
      <c r="G51" s="46" t="s">
        <v>55</v>
      </c>
      <c r="H51" s="4">
        <v>44857</v>
      </c>
      <c r="I51" s="56"/>
      <c r="J51" s="14">
        <v>670720</v>
      </c>
      <c r="K51" s="60"/>
      <c r="L51" s="18">
        <f t="shared" si="0"/>
        <v>39125.333333333336</v>
      </c>
      <c r="M51" s="18">
        <f t="shared" si="1"/>
        <v>16768</v>
      </c>
      <c r="N51" s="18">
        <f t="shared" si="7"/>
        <v>55893.333333333336</v>
      </c>
      <c r="O51" s="64">
        <v>10</v>
      </c>
      <c r="P51" s="18">
        <f t="shared" si="6"/>
        <v>5589.3333333333339</v>
      </c>
      <c r="Q51" s="18"/>
      <c r="R51" s="18"/>
      <c r="S51" s="18">
        <v>315</v>
      </c>
      <c r="T51" s="18"/>
      <c r="U51" s="18"/>
      <c r="V51" s="18">
        <v>0</v>
      </c>
      <c r="W51" s="18"/>
      <c r="X51" s="18"/>
      <c r="Y51" s="18"/>
      <c r="Z51" s="18"/>
      <c r="AA51" s="18"/>
      <c r="AB51" s="18">
        <v>154</v>
      </c>
      <c r="AC51" s="18">
        <v>115</v>
      </c>
      <c r="AD51" s="18">
        <v>959.45</v>
      </c>
      <c r="AE51" s="18"/>
      <c r="AF51" s="18"/>
      <c r="AG51" s="18"/>
      <c r="AH51" s="18"/>
      <c r="AI51" s="57"/>
      <c r="AJ51" s="15"/>
      <c r="AK51" s="18"/>
      <c r="AL51" s="15"/>
      <c r="AM51" s="18">
        <v>21</v>
      </c>
      <c r="AN51" s="18">
        <f t="shared" si="2"/>
        <v>176.4</v>
      </c>
      <c r="AO51" s="18">
        <f t="shared" si="3"/>
        <v>20</v>
      </c>
      <c r="AP51" s="18">
        <f t="shared" si="4"/>
        <v>168</v>
      </c>
      <c r="AQ51" s="18">
        <v>1</v>
      </c>
      <c r="AR51" s="18">
        <v>0</v>
      </c>
      <c r="AS51" s="18"/>
      <c r="AT51" s="10"/>
      <c r="AU51" s="18"/>
      <c r="AV51" s="89"/>
      <c r="AW51" s="53"/>
    </row>
    <row r="52" spans="1:51" x14ac:dyDescent="0.15">
      <c r="A52" s="48">
        <v>84</v>
      </c>
      <c r="B52" s="6">
        <v>11629599</v>
      </c>
      <c r="C52" s="6" t="s">
        <v>156</v>
      </c>
      <c r="D52" s="46" t="s">
        <v>157</v>
      </c>
      <c r="E52" s="46">
        <v>2400</v>
      </c>
      <c r="F52" s="46" t="s">
        <v>54</v>
      </c>
      <c r="G52" s="46" t="s">
        <v>55</v>
      </c>
      <c r="H52" s="4">
        <v>44870</v>
      </c>
      <c r="I52" s="56"/>
      <c r="J52" s="14">
        <v>667647.36</v>
      </c>
      <c r="K52" s="60"/>
      <c r="L52" s="18">
        <f t="shared" si="0"/>
        <v>38946.095999999998</v>
      </c>
      <c r="M52" s="18">
        <f t="shared" si="1"/>
        <v>16691.183999999997</v>
      </c>
      <c r="N52" s="18">
        <f t="shared" si="7"/>
        <v>55637.279999999999</v>
      </c>
      <c r="O52" s="18">
        <v>10</v>
      </c>
      <c r="P52" s="18">
        <f t="shared" si="6"/>
        <v>5563.7280000000001</v>
      </c>
      <c r="Q52" s="18"/>
      <c r="R52" s="18"/>
      <c r="S52" s="18">
        <v>315</v>
      </c>
      <c r="T52" s="18"/>
      <c r="U52" s="18"/>
      <c r="V52" s="18">
        <v>0</v>
      </c>
      <c r="W52" s="18"/>
      <c r="X52" s="18"/>
      <c r="Y52" s="18"/>
      <c r="Z52" s="18"/>
      <c r="AA52" s="18"/>
      <c r="AB52" s="18">
        <v>154</v>
      </c>
      <c r="AC52" s="18">
        <v>115</v>
      </c>
      <c r="AD52" s="18">
        <v>998.85</v>
      </c>
      <c r="AE52" s="18"/>
      <c r="AF52" s="18"/>
      <c r="AG52" s="18"/>
      <c r="AH52" s="18"/>
      <c r="AI52" s="57"/>
      <c r="AJ52" s="15"/>
      <c r="AK52" s="18"/>
      <c r="AL52" s="15"/>
      <c r="AM52" s="18">
        <v>21</v>
      </c>
      <c r="AN52" s="18">
        <f t="shared" si="2"/>
        <v>176.4</v>
      </c>
      <c r="AO52" s="18">
        <f t="shared" si="3"/>
        <v>21</v>
      </c>
      <c r="AP52" s="18">
        <f t="shared" si="4"/>
        <v>176.4</v>
      </c>
      <c r="AQ52" s="18">
        <v>0</v>
      </c>
      <c r="AR52" s="18">
        <v>0</v>
      </c>
      <c r="AS52" s="18"/>
      <c r="AT52" s="10"/>
      <c r="AU52" s="18"/>
      <c r="AV52" s="89"/>
      <c r="AW52" s="53"/>
    </row>
    <row r="53" spans="1:51" x14ac:dyDescent="0.15">
      <c r="A53" s="48">
        <v>85</v>
      </c>
      <c r="B53" s="6">
        <v>27161900</v>
      </c>
      <c r="C53" s="6" t="s">
        <v>158</v>
      </c>
      <c r="D53" s="46" t="s">
        <v>159</v>
      </c>
      <c r="E53" s="46">
        <v>2160</v>
      </c>
      <c r="F53" s="46" t="s">
        <v>54</v>
      </c>
      <c r="G53" s="46" t="s">
        <v>55</v>
      </c>
      <c r="H53" s="4">
        <v>44894</v>
      </c>
      <c r="I53" s="56"/>
      <c r="J53" s="14">
        <v>648000</v>
      </c>
      <c r="K53" s="60"/>
      <c r="L53" s="18">
        <f t="shared" si="0"/>
        <v>37800</v>
      </c>
      <c r="M53" s="18">
        <f t="shared" si="1"/>
        <v>16200</v>
      </c>
      <c r="N53" s="18">
        <f t="shared" si="7"/>
        <v>54000</v>
      </c>
      <c r="O53" s="18">
        <v>10</v>
      </c>
      <c r="P53" s="18">
        <f t="shared" si="6"/>
        <v>5400</v>
      </c>
      <c r="Q53" s="18"/>
      <c r="R53" s="18"/>
      <c r="S53" s="18">
        <v>315</v>
      </c>
      <c r="T53" s="18"/>
      <c r="U53" s="18"/>
      <c r="V53" s="18">
        <v>0</v>
      </c>
      <c r="W53" s="18"/>
      <c r="X53" s="18"/>
      <c r="Y53" s="18"/>
      <c r="Z53" s="18"/>
      <c r="AA53" s="18"/>
      <c r="AB53" s="18">
        <v>154</v>
      </c>
      <c r="AC53" s="18">
        <v>115</v>
      </c>
      <c r="AD53" s="18">
        <v>1000</v>
      </c>
      <c r="AE53" s="18"/>
      <c r="AF53" s="18"/>
      <c r="AG53" s="18"/>
      <c r="AH53" s="18"/>
      <c r="AI53" s="57"/>
      <c r="AJ53" s="15"/>
      <c r="AK53" s="18"/>
      <c r="AL53" s="15"/>
      <c r="AM53" s="18">
        <v>21</v>
      </c>
      <c r="AN53" s="18">
        <f t="shared" si="2"/>
        <v>176.4</v>
      </c>
      <c r="AO53" s="18">
        <f t="shared" si="3"/>
        <v>20</v>
      </c>
      <c r="AP53" s="18">
        <f t="shared" si="4"/>
        <v>168</v>
      </c>
      <c r="AQ53" s="18">
        <v>1</v>
      </c>
      <c r="AR53" s="18">
        <v>0</v>
      </c>
      <c r="AS53" s="18"/>
      <c r="AT53" s="10"/>
      <c r="AU53" s="18"/>
      <c r="AV53" s="89"/>
      <c r="AW53" s="53"/>
    </row>
    <row r="54" spans="1:51" x14ac:dyDescent="0.15">
      <c r="A54" s="48">
        <v>86</v>
      </c>
      <c r="B54" s="6">
        <v>302753595</v>
      </c>
      <c r="C54" s="6" t="s">
        <v>160</v>
      </c>
      <c r="D54" s="46" t="s">
        <v>161</v>
      </c>
      <c r="E54" s="46">
        <v>2540</v>
      </c>
      <c r="F54" s="46" t="s">
        <v>54</v>
      </c>
      <c r="G54" s="46" t="s">
        <v>55</v>
      </c>
      <c r="H54" s="4">
        <v>44894</v>
      </c>
      <c r="I54" s="56"/>
      <c r="J54" s="14">
        <v>751514</v>
      </c>
      <c r="K54" s="60"/>
      <c r="L54" s="18">
        <f t="shared" si="0"/>
        <v>43838.316666666666</v>
      </c>
      <c r="M54" s="18">
        <f t="shared" si="1"/>
        <v>18787.849999999999</v>
      </c>
      <c r="N54" s="18">
        <f t="shared" si="7"/>
        <v>62626.166666666664</v>
      </c>
      <c r="O54" s="18">
        <v>9</v>
      </c>
      <c r="P54" s="18">
        <f t="shared" si="6"/>
        <v>5636.3549999999996</v>
      </c>
      <c r="Q54" s="18"/>
      <c r="R54" s="18"/>
      <c r="S54" s="18">
        <v>315</v>
      </c>
      <c r="T54" s="18"/>
      <c r="U54" s="18"/>
      <c r="V54" s="18">
        <v>0</v>
      </c>
      <c r="W54" s="18"/>
      <c r="X54" s="18"/>
      <c r="Y54" s="18"/>
      <c r="Z54" s="18"/>
      <c r="AA54" s="18"/>
      <c r="AB54" s="18">
        <v>154</v>
      </c>
      <c r="AC54" s="18">
        <v>115</v>
      </c>
      <c r="AD54" s="18">
        <v>1000</v>
      </c>
      <c r="AE54" s="18"/>
      <c r="AF54" s="18"/>
      <c r="AG54" s="18"/>
      <c r="AH54" s="18"/>
      <c r="AI54" s="57"/>
      <c r="AJ54" s="15"/>
      <c r="AK54" s="18"/>
      <c r="AL54" s="15"/>
      <c r="AM54" s="18">
        <v>21</v>
      </c>
      <c r="AN54" s="18">
        <f t="shared" si="2"/>
        <v>176.4</v>
      </c>
      <c r="AO54" s="18">
        <f t="shared" si="3"/>
        <v>11.5</v>
      </c>
      <c r="AP54" s="18">
        <f t="shared" si="4"/>
        <v>96.600000000000009</v>
      </c>
      <c r="AQ54" s="18">
        <v>9.5</v>
      </c>
      <c r="AR54" s="18">
        <v>0</v>
      </c>
      <c r="AS54" s="18"/>
      <c r="AT54" s="10"/>
      <c r="AU54" s="18"/>
      <c r="AV54" s="89"/>
      <c r="AW54" s="53"/>
    </row>
    <row r="55" spans="1:51" x14ac:dyDescent="0.15">
      <c r="A55" s="48">
        <v>87</v>
      </c>
      <c r="B55" s="6">
        <v>31409336</v>
      </c>
      <c r="C55" s="6" t="s">
        <v>162</v>
      </c>
      <c r="D55" s="46" t="s">
        <v>163</v>
      </c>
      <c r="E55" s="46">
        <v>2410</v>
      </c>
      <c r="F55" s="46" t="s">
        <v>54</v>
      </c>
      <c r="G55" s="46" t="s">
        <v>55</v>
      </c>
      <c r="H55" s="4">
        <v>44896</v>
      </c>
      <c r="I55" s="56"/>
      <c r="J55" s="14">
        <v>308160</v>
      </c>
      <c r="K55" s="60"/>
      <c r="L55" s="18">
        <f t="shared" si="0"/>
        <v>17976</v>
      </c>
      <c r="M55" s="18">
        <f t="shared" si="1"/>
        <v>7704</v>
      </c>
      <c r="N55" s="18">
        <f t="shared" si="7"/>
        <v>25680</v>
      </c>
      <c r="O55" s="18">
        <v>15</v>
      </c>
      <c r="P55" s="18">
        <f t="shared" si="6"/>
        <v>3852</v>
      </c>
      <c r="Q55" s="18"/>
      <c r="R55" s="18"/>
      <c r="S55" s="18">
        <v>315</v>
      </c>
      <c r="T55" s="18"/>
      <c r="U55" s="18"/>
      <c r="V55" s="18">
        <v>0</v>
      </c>
      <c r="W55" s="18"/>
      <c r="X55" s="18"/>
      <c r="Y55" s="18"/>
      <c r="Z55" s="18"/>
      <c r="AA55" s="18"/>
      <c r="AB55" s="18">
        <v>154</v>
      </c>
      <c r="AC55" s="18">
        <v>115</v>
      </c>
      <c r="AD55" s="18">
        <v>999.1</v>
      </c>
      <c r="AE55" s="18"/>
      <c r="AF55" s="18"/>
      <c r="AG55" s="18"/>
      <c r="AH55" s="18"/>
      <c r="AI55" s="57"/>
      <c r="AJ55" s="15"/>
      <c r="AK55" s="18"/>
      <c r="AL55" s="15"/>
      <c r="AM55" s="18">
        <v>21</v>
      </c>
      <c r="AN55" s="18">
        <f t="shared" si="2"/>
        <v>176.4</v>
      </c>
      <c r="AO55" s="18">
        <f t="shared" si="3"/>
        <v>18</v>
      </c>
      <c r="AP55" s="18">
        <f t="shared" si="4"/>
        <v>151.20000000000002</v>
      </c>
      <c r="AQ55" s="18">
        <v>0</v>
      </c>
      <c r="AR55" s="18">
        <v>3</v>
      </c>
      <c r="AS55" s="18"/>
      <c r="AT55" s="10"/>
      <c r="AU55" s="18"/>
      <c r="AV55" s="89"/>
      <c r="AW55" s="53"/>
    </row>
    <row r="56" spans="1:51" x14ac:dyDescent="0.15">
      <c r="A56" s="48">
        <v>88</v>
      </c>
      <c r="B56" s="6">
        <v>35554019</v>
      </c>
      <c r="C56" s="6" t="s">
        <v>164</v>
      </c>
      <c r="D56" s="46" t="s">
        <v>165</v>
      </c>
      <c r="E56" s="46">
        <v>4442</v>
      </c>
      <c r="F56" s="46" t="s">
        <v>54</v>
      </c>
      <c r="G56" s="46" t="s">
        <v>55</v>
      </c>
      <c r="H56" s="4">
        <v>44899</v>
      </c>
      <c r="I56" s="56"/>
      <c r="J56" s="14">
        <v>561429</v>
      </c>
      <c r="K56" s="60"/>
      <c r="L56" s="18">
        <f t="shared" si="0"/>
        <v>32750.024999999998</v>
      </c>
      <c r="M56" s="18">
        <f t="shared" si="1"/>
        <v>14035.725</v>
      </c>
      <c r="N56" s="18">
        <f t="shared" si="7"/>
        <v>46785.75</v>
      </c>
      <c r="O56" s="18">
        <v>10</v>
      </c>
      <c r="P56" s="18">
        <f t="shared" si="6"/>
        <v>4678.5749999999998</v>
      </c>
      <c r="Q56" s="18"/>
      <c r="R56" s="18"/>
      <c r="S56" s="18">
        <v>315</v>
      </c>
      <c r="T56" s="18"/>
      <c r="U56" s="18"/>
      <c r="V56" s="18">
        <v>0</v>
      </c>
      <c r="W56" s="18"/>
      <c r="X56" s="18"/>
      <c r="Y56" s="18"/>
      <c r="Z56" s="18"/>
      <c r="AA56" s="18"/>
      <c r="AB56" s="18">
        <v>154</v>
      </c>
      <c r="AC56" s="18">
        <v>115</v>
      </c>
      <c r="AD56" s="18">
        <v>998.89</v>
      </c>
      <c r="AE56" s="18"/>
      <c r="AF56" s="18"/>
      <c r="AG56" s="18"/>
      <c r="AH56" s="18"/>
      <c r="AI56" s="57"/>
      <c r="AJ56" s="15"/>
      <c r="AK56" s="18"/>
      <c r="AL56" s="15"/>
      <c r="AM56" s="18">
        <v>21</v>
      </c>
      <c r="AN56" s="18">
        <f t="shared" si="2"/>
        <v>176.4</v>
      </c>
      <c r="AO56" s="18">
        <f t="shared" si="3"/>
        <v>21</v>
      </c>
      <c r="AP56" s="18">
        <f t="shared" si="4"/>
        <v>176.4</v>
      </c>
      <c r="AQ56" s="18">
        <v>0</v>
      </c>
      <c r="AR56" s="18">
        <v>0</v>
      </c>
      <c r="AS56" s="18"/>
      <c r="AT56" s="10"/>
      <c r="AU56" s="18"/>
      <c r="AV56" s="89"/>
      <c r="AW56" s="53"/>
    </row>
    <row r="57" spans="1:51" x14ac:dyDescent="0.15">
      <c r="A57" s="48">
        <v>89</v>
      </c>
      <c r="B57" s="6">
        <v>32949166</v>
      </c>
      <c r="C57" s="6" t="s">
        <v>166</v>
      </c>
      <c r="D57" s="46" t="s">
        <v>167</v>
      </c>
      <c r="E57" s="46">
        <v>2160</v>
      </c>
      <c r="F57" s="46" t="s">
        <v>54</v>
      </c>
      <c r="G57" s="46" t="s">
        <v>55</v>
      </c>
      <c r="H57" s="4">
        <v>44986</v>
      </c>
      <c r="I57" s="56"/>
      <c r="J57" s="14">
        <v>384000</v>
      </c>
      <c r="K57" s="60"/>
      <c r="L57" s="18">
        <f t="shared" si="0"/>
        <v>22400</v>
      </c>
      <c r="M57" s="18">
        <f t="shared" si="1"/>
        <v>9600</v>
      </c>
      <c r="N57" s="18">
        <f t="shared" si="7"/>
        <v>32000</v>
      </c>
      <c r="O57" s="18">
        <v>0</v>
      </c>
      <c r="P57" s="18">
        <f t="shared" si="6"/>
        <v>0</v>
      </c>
      <c r="Q57" s="18"/>
      <c r="R57" s="18"/>
      <c r="S57" s="18">
        <v>315</v>
      </c>
      <c r="T57" s="18"/>
      <c r="U57" s="18"/>
      <c r="V57" s="18">
        <v>0</v>
      </c>
      <c r="W57" s="18"/>
      <c r="X57" s="18"/>
      <c r="Y57" s="18"/>
      <c r="Z57" s="18"/>
      <c r="AA57" s="18"/>
      <c r="AB57" s="18">
        <v>154</v>
      </c>
      <c r="AC57" s="18">
        <v>115</v>
      </c>
      <c r="AD57" s="18">
        <v>999.69</v>
      </c>
      <c r="AE57" s="18"/>
      <c r="AF57" s="18"/>
      <c r="AG57" s="18"/>
      <c r="AH57" s="18"/>
      <c r="AI57" s="57"/>
      <c r="AJ57" s="15"/>
      <c r="AK57" s="18"/>
      <c r="AL57" s="15"/>
      <c r="AM57" s="18">
        <v>21</v>
      </c>
      <c r="AN57" s="18">
        <f t="shared" si="2"/>
        <v>176.4</v>
      </c>
      <c r="AO57" s="18">
        <f t="shared" si="3"/>
        <v>19</v>
      </c>
      <c r="AP57" s="18">
        <f t="shared" si="4"/>
        <v>159.6</v>
      </c>
      <c r="AQ57" s="18">
        <v>2</v>
      </c>
      <c r="AR57" s="18">
        <v>0</v>
      </c>
      <c r="AS57" s="18"/>
      <c r="AT57" s="10"/>
      <c r="AU57" s="18"/>
      <c r="AV57" s="89"/>
      <c r="AW57" s="53"/>
    </row>
    <row r="58" spans="1:51" x14ac:dyDescent="0.15">
      <c r="A58" s="48">
        <v>90</v>
      </c>
      <c r="B58" s="6">
        <v>206963159</v>
      </c>
      <c r="C58" s="6" t="s">
        <v>168</v>
      </c>
      <c r="D58" s="46" t="s">
        <v>169</v>
      </c>
      <c r="E58" s="46">
        <v>2192</v>
      </c>
      <c r="F58" s="46" t="s">
        <v>54</v>
      </c>
      <c r="G58" s="46" t="s">
        <v>55</v>
      </c>
      <c r="H58" s="4">
        <v>45088</v>
      </c>
      <c r="I58" s="56"/>
      <c r="J58" s="14">
        <v>467376</v>
      </c>
      <c r="K58" s="60"/>
      <c r="L58" s="18">
        <f t="shared" si="0"/>
        <v>27263.599999999999</v>
      </c>
      <c r="M58" s="18">
        <f t="shared" si="1"/>
        <v>11684.4</v>
      </c>
      <c r="N58" s="18">
        <f t="shared" si="7"/>
        <v>38948</v>
      </c>
      <c r="O58" s="18">
        <v>15</v>
      </c>
      <c r="P58" s="18">
        <f t="shared" si="6"/>
        <v>5842.2</v>
      </c>
      <c r="Q58" s="18"/>
      <c r="R58" s="18"/>
      <c r="S58" s="18">
        <v>315</v>
      </c>
      <c r="T58" s="18"/>
      <c r="U58" s="18"/>
      <c r="V58" s="18">
        <v>0</v>
      </c>
      <c r="W58" s="18"/>
      <c r="X58" s="18"/>
      <c r="Y58" s="18"/>
      <c r="Z58" s="18"/>
      <c r="AA58" s="18"/>
      <c r="AB58" s="18">
        <v>154</v>
      </c>
      <c r="AC58" s="18">
        <v>115</v>
      </c>
      <c r="AD58" s="18">
        <v>999.46</v>
      </c>
      <c r="AE58" s="18"/>
      <c r="AF58" s="18"/>
      <c r="AG58" s="18"/>
      <c r="AH58" s="18"/>
      <c r="AI58" s="57"/>
      <c r="AJ58" s="15"/>
      <c r="AK58" s="18"/>
      <c r="AL58" s="15"/>
      <c r="AM58" s="18">
        <v>21</v>
      </c>
      <c r="AN58" s="18">
        <f t="shared" si="2"/>
        <v>176.4</v>
      </c>
      <c r="AO58" s="18">
        <f t="shared" si="3"/>
        <v>21</v>
      </c>
      <c r="AP58" s="18">
        <f t="shared" si="4"/>
        <v>176.4</v>
      </c>
      <c r="AQ58" s="18">
        <v>0</v>
      </c>
      <c r="AR58" s="18">
        <v>0</v>
      </c>
      <c r="AS58" s="18"/>
      <c r="AT58" s="10"/>
      <c r="AU58" s="18"/>
      <c r="AV58" s="89"/>
      <c r="AW58" s="53"/>
    </row>
    <row r="59" spans="1:51" x14ac:dyDescent="0.15">
      <c r="A59" s="48">
        <v>94</v>
      </c>
      <c r="B59" s="6">
        <v>23648884</v>
      </c>
      <c r="C59" s="6" t="s">
        <v>170</v>
      </c>
      <c r="D59" s="46" t="s">
        <v>171</v>
      </c>
      <c r="E59" s="46">
        <v>2160</v>
      </c>
      <c r="F59" s="46" t="s">
        <v>54</v>
      </c>
      <c r="G59" s="46" t="s">
        <v>55</v>
      </c>
      <c r="H59" s="4">
        <v>45259</v>
      </c>
      <c r="I59" s="56"/>
      <c r="J59" s="14">
        <v>468000</v>
      </c>
      <c r="K59" s="60"/>
      <c r="L59" s="18">
        <f t="shared" si="0"/>
        <v>27300</v>
      </c>
      <c r="M59" s="18">
        <f t="shared" si="1"/>
        <v>11700</v>
      </c>
      <c r="N59" s="18">
        <f t="shared" si="7"/>
        <v>39000</v>
      </c>
      <c r="O59" s="18">
        <v>15</v>
      </c>
      <c r="P59" s="18">
        <f t="shared" si="6"/>
        <v>5850</v>
      </c>
      <c r="Q59" s="18"/>
      <c r="R59" s="18"/>
      <c r="S59" s="18">
        <v>315</v>
      </c>
      <c r="T59" s="18"/>
      <c r="U59" s="18"/>
      <c r="V59" s="18">
        <v>0</v>
      </c>
      <c r="W59" s="18"/>
      <c r="X59" s="18"/>
      <c r="Y59" s="18"/>
      <c r="Z59" s="18"/>
      <c r="AA59" s="18"/>
      <c r="AB59" s="18">
        <v>154</v>
      </c>
      <c r="AC59" s="18">
        <v>115</v>
      </c>
      <c r="AD59" s="18">
        <v>995.55</v>
      </c>
      <c r="AE59" s="18"/>
      <c r="AF59" s="18"/>
      <c r="AG59" s="18"/>
      <c r="AH59" s="18"/>
      <c r="AI59" s="57"/>
      <c r="AJ59" s="15"/>
      <c r="AK59" s="18"/>
      <c r="AL59" s="15"/>
      <c r="AM59" s="18">
        <v>21</v>
      </c>
      <c r="AN59" s="18">
        <f t="shared" si="2"/>
        <v>176.4</v>
      </c>
      <c r="AO59" s="18">
        <f t="shared" si="3"/>
        <v>21</v>
      </c>
      <c r="AP59" s="18">
        <f t="shared" si="4"/>
        <v>176.4</v>
      </c>
      <c r="AQ59" s="18">
        <v>0</v>
      </c>
      <c r="AR59" s="18">
        <v>0</v>
      </c>
      <c r="AS59" s="18"/>
      <c r="AT59" s="10"/>
      <c r="AU59" s="18"/>
      <c r="AV59" s="89"/>
      <c r="AW59" s="53"/>
    </row>
    <row r="60" spans="1:51" x14ac:dyDescent="0.15">
      <c r="A60" s="48">
        <v>96</v>
      </c>
      <c r="B60" s="6">
        <v>36573137</v>
      </c>
      <c r="C60" s="6" t="s">
        <v>172</v>
      </c>
      <c r="D60" s="46" t="s">
        <v>173</v>
      </c>
      <c r="E60" s="46">
        <v>2250</v>
      </c>
      <c r="F60" s="46" t="s">
        <v>54</v>
      </c>
      <c r="G60" s="46" t="s">
        <v>55</v>
      </c>
      <c r="H60" s="4">
        <v>45263</v>
      </c>
      <c r="I60" s="56"/>
      <c r="J60" s="14">
        <v>432000</v>
      </c>
      <c r="K60" s="60"/>
      <c r="L60" s="18">
        <f t="shared" si="0"/>
        <v>25200</v>
      </c>
      <c r="M60" s="18">
        <f t="shared" si="1"/>
        <v>10800</v>
      </c>
      <c r="N60" s="18">
        <f t="shared" si="7"/>
        <v>36000</v>
      </c>
      <c r="O60" s="18">
        <v>15</v>
      </c>
      <c r="P60" s="18">
        <f t="shared" si="6"/>
        <v>5400</v>
      </c>
      <c r="Q60" s="18"/>
      <c r="R60" s="18"/>
      <c r="S60" s="18">
        <v>315</v>
      </c>
      <c r="T60" s="18"/>
      <c r="U60" s="18"/>
      <c r="V60" s="18">
        <v>0</v>
      </c>
      <c r="W60" s="18"/>
      <c r="X60" s="18"/>
      <c r="Y60" s="18"/>
      <c r="Z60" s="18"/>
      <c r="AA60" s="18"/>
      <c r="AB60" s="18">
        <v>154</v>
      </c>
      <c r="AC60" s="18">
        <v>115</v>
      </c>
      <c r="AD60" s="18">
        <v>1000</v>
      </c>
      <c r="AE60" s="18"/>
      <c r="AF60" s="18"/>
      <c r="AG60" s="18"/>
      <c r="AH60" s="18"/>
      <c r="AI60" s="57"/>
      <c r="AJ60" s="15"/>
      <c r="AK60" s="18"/>
      <c r="AL60" s="15"/>
      <c r="AM60" s="18">
        <v>21</v>
      </c>
      <c r="AN60" s="18">
        <f t="shared" si="2"/>
        <v>176.4</v>
      </c>
      <c r="AO60" s="18">
        <f t="shared" si="3"/>
        <v>20</v>
      </c>
      <c r="AP60" s="18">
        <f t="shared" si="4"/>
        <v>168</v>
      </c>
      <c r="AQ60" s="18">
        <v>1</v>
      </c>
      <c r="AR60" s="18">
        <v>0</v>
      </c>
      <c r="AS60" s="18"/>
      <c r="AT60" s="10"/>
      <c r="AU60" s="18"/>
      <c r="AV60" s="89"/>
      <c r="AW60" s="53"/>
    </row>
    <row r="61" spans="1:51" x14ac:dyDescent="0.15">
      <c r="A61" s="48">
        <v>95</v>
      </c>
      <c r="B61" s="6">
        <v>306323411</v>
      </c>
      <c r="C61" s="6" t="s">
        <v>174</v>
      </c>
      <c r="D61" s="46" t="s">
        <v>175</v>
      </c>
      <c r="E61" s="46">
        <v>2160</v>
      </c>
      <c r="F61" s="46" t="s">
        <v>54</v>
      </c>
      <c r="G61" s="46" t="s">
        <v>55</v>
      </c>
      <c r="H61" s="4">
        <v>45263</v>
      </c>
      <c r="I61" s="56"/>
      <c r="J61" s="14">
        <v>685680</v>
      </c>
      <c r="K61" s="60"/>
      <c r="L61" s="18">
        <f t="shared" si="0"/>
        <v>39998</v>
      </c>
      <c r="M61" s="18">
        <f t="shared" si="1"/>
        <v>17142</v>
      </c>
      <c r="N61" s="18">
        <f t="shared" si="7"/>
        <v>57140</v>
      </c>
      <c r="O61" s="18">
        <v>15</v>
      </c>
      <c r="P61" s="18">
        <f t="shared" si="6"/>
        <v>8571</v>
      </c>
      <c r="Q61" s="18"/>
      <c r="R61" s="18"/>
      <c r="S61" s="18">
        <v>315</v>
      </c>
      <c r="T61" s="18"/>
      <c r="U61" s="18"/>
      <c r="V61" s="18">
        <v>0</v>
      </c>
      <c r="W61" s="18"/>
      <c r="X61" s="18"/>
      <c r="Y61" s="18"/>
      <c r="Z61" s="18"/>
      <c r="AA61" s="18"/>
      <c r="AB61" s="18">
        <v>154</v>
      </c>
      <c r="AC61" s="18">
        <v>115</v>
      </c>
      <c r="AD61" s="18">
        <v>902.15</v>
      </c>
      <c r="AE61" s="18"/>
      <c r="AF61" s="18"/>
      <c r="AG61" s="18"/>
      <c r="AH61" s="18"/>
      <c r="AI61" s="57"/>
      <c r="AJ61" s="15"/>
      <c r="AK61" s="18"/>
      <c r="AL61" s="15"/>
      <c r="AM61" s="18">
        <v>21</v>
      </c>
      <c r="AN61" s="18">
        <f t="shared" si="2"/>
        <v>176.4</v>
      </c>
      <c r="AO61" s="18">
        <f t="shared" si="3"/>
        <v>21</v>
      </c>
      <c r="AP61" s="18">
        <f t="shared" si="4"/>
        <v>176.4</v>
      </c>
      <c r="AQ61" s="18">
        <v>0</v>
      </c>
      <c r="AR61" s="18">
        <v>0</v>
      </c>
      <c r="AS61" s="18"/>
      <c r="AT61" s="10"/>
      <c r="AU61" s="18">
        <v>7758.37</v>
      </c>
      <c r="AV61" s="89"/>
      <c r="AW61" s="53"/>
    </row>
    <row r="62" spans="1:51" s="73" customFormat="1" x14ac:dyDescent="0.15">
      <c r="A62" s="21">
        <v>97</v>
      </c>
      <c r="B62" s="61">
        <v>204697593</v>
      </c>
      <c r="C62" s="61" t="s">
        <v>176</v>
      </c>
      <c r="D62" s="19" t="s">
        <v>177</v>
      </c>
      <c r="E62" s="19">
        <v>2180</v>
      </c>
      <c r="F62" s="19" t="s">
        <v>54</v>
      </c>
      <c r="G62" s="19" t="s">
        <v>178</v>
      </c>
      <c r="H62" s="59">
        <v>45284</v>
      </c>
      <c r="I62" s="17"/>
      <c r="J62" s="55">
        <v>359923.20000000001</v>
      </c>
      <c r="K62" s="13" t="s">
        <v>179</v>
      </c>
      <c r="L62" s="85"/>
      <c r="M62" s="85"/>
      <c r="N62" s="85"/>
      <c r="O62" s="85">
        <v>15</v>
      </c>
      <c r="P62" s="85">
        <f t="shared" si="6"/>
        <v>0</v>
      </c>
      <c r="Q62" s="85"/>
      <c r="R62" s="85"/>
      <c r="S62" s="85"/>
      <c r="T62" s="85"/>
      <c r="U62" s="85"/>
      <c r="V62" s="18">
        <v>0</v>
      </c>
      <c r="W62" s="85"/>
      <c r="X62" s="85"/>
      <c r="Y62" s="85"/>
      <c r="Z62" s="85"/>
      <c r="AA62" s="85"/>
      <c r="AB62" s="85"/>
      <c r="AC62" s="85"/>
      <c r="AD62" s="18">
        <v>827.26</v>
      </c>
      <c r="AE62" s="18"/>
      <c r="AF62" s="85"/>
      <c r="AG62" s="85"/>
      <c r="AH62" s="85"/>
      <c r="AI62" s="42"/>
      <c r="AJ62" s="81"/>
      <c r="AK62" s="85"/>
      <c r="AL62" s="81"/>
      <c r="AM62" s="85">
        <v>21</v>
      </c>
      <c r="AN62" s="85">
        <f t="shared" si="2"/>
        <v>176.4</v>
      </c>
      <c r="AO62" s="85">
        <f t="shared" si="3"/>
        <v>21</v>
      </c>
      <c r="AP62" s="85">
        <f t="shared" si="4"/>
        <v>176.4</v>
      </c>
      <c r="AQ62" s="18">
        <v>0</v>
      </c>
      <c r="AR62" s="18">
        <v>0</v>
      </c>
      <c r="AS62" s="85"/>
      <c r="AT62" s="38"/>
      <c r="AU62" s="18"/>
      <c r="AV62" s="77"/>
      <c r="AW62" s="34"/>
    </row>
    <row r="63" spans="1:51" x14ac:dyDescent="0.15">
      <c r="A63" s="48">
        <v>98</v>
      </c>
      <c r="B63" s="6">
        <v>306540816</v>
      </c>
      <c r="C63" s="6" t="s">
        <v>180</v>
      </c>
      <c r="D63" s="46" t="s">
        <v>181</v>
      </c>
      <c r="E63" s="46">
        <v>1608</v>
      </c>
      <c r="F63" s="46" t="s">
        <v>54</v>
      </c>
      <c r="G63" s="46" t="s">
        <v>55</v>
      </c>
      <c r="H63" s="4">
        <v>45305</v>
      </c>
      <c r="I63" s="56"/>
      <c r="J63" s="14">
        <v>305510.40000000002</v>
      </c>
      <c r="K63" s="60"/>
      <c r="L63" s="18">
        <f t="shared" ref="L63:L98" si="8">J63/12*70%</f>
        <v>17821.439999999999</v>
      </c>
      <c r="M63" s="18">
        <f t="shared" ref="M63:M98" si="9">J63/12*30%</f>
        <v>7637.76</v>
      </c>
      <c r="N63" s="18">
        <f t="shared" si="7"/>
        <v>25459.199999999997</v>
      </c>
      <c r="O63" s="18">
        <v>7</v>
      </c>
      <c r="P63" s="18">
        <f t="shared" si="6"/>
        <v>1782.144</v>
      </c>
      <c r="Q63" s="18"/>
      <c r="R63" s="18"/>
      <c r="S63" s="18">
        <v>315</v>
      </c>
      <c r="T63" s="18"/>
      <c r="U63" s="18"/>
      <c r="V63" s="18">
        <v>0</v>
      </c>
      <c r="W63" s="18"/>
      <c r="X63" s="18"/>
      <c r="Y63" s="18"/>
      <c r="Z63" s="18"/>
      <c r="AA63" s="18"/>
      <c r="AB63" s="18">
        <v>154</v>
      </c>
      <c r="AC63" s="18">
        <v>115</v>
      </c>
      <c r="AD63" s="18">
        <v>999.49</v>
      </c>
      <c r="AE63" s="18"/>
      <c r="AF63" s="18"/>
      <c r="AG63" s="18"/>
      <c r="AH63" s="18"/>
      <c r="AI63" s="57"/>
      <c r="AJ63" s="15"/>
      <c r="AK63" s="18"/>
      <c r="AL63" s="15"/>
      <c r="AM63" s="18">
        <v>21</v>
      </c>
      <c r="AN63" s="18">
        <f t="shared" si="2"/>
        <v>176.4</v>
      </c>
      <c r="AO63" s="18">
        <f t="shared" si="3"/>
        <v>20</v>
      </c>
      <c r="AP63" s="18">
        <f t="shared" si="4"/>
        <v>168</v>
      </c>
      <c r="AQ63" s="18">
        <v>0</v>
      </c>
      <c r="AR63" s="18">
        <v>1</v>
      </c>
      <c r="AS63" s="18"/>
      <c r="AT63" s="10"/>
      <c r="AU63" s="18"/>
      <c r="AV63" s="89"/>
      <c r="AW63" s="53"/>
    </row>
    <row r="64" spans="1:51" x14ac:dyDescent="0.15">
      <c r="A64" s="48">
        <v>99</v>
      </c>
      <c r="B64" s="6">
        <v>40794422</v>
      </c>
      <c r="C64" s="6" t="s">
        <v>182</v>
      </c>
      <c r="D64" s="46" t="s">
        <v>183</v>
      </c>
      <c r="E64" s="46">
        <v>1200</v>
      </c>
      <c r="F64" s="46" t="s">
        <v>54</v>
      </c>
      <c r="G64" s="46" t="s">
        <v>55</v>
      </c>
      <c r="H64" s="4">
        <v>45305</v>
      </c>
      <c r="I64" s="56"/>
      <c r="J64" s="14">
        <v>594880</v>
      </c>
      <c r="K64" s="60"/>
      <c r="L64" s="18">
        <f t="shared" si="8"/>
        <v>34701.333333333336</v>
      </c>
      <c r="M64" s="18">
        <f t="shared" si="9"/>
        <v>14872</v>
      </c>
      <c r="N64" s="18">
        <f t="shared" si="7"/>
        <v>49573.333333333336</v>
      </c>
      <c r="O64" s="18">
        <v>15</v>
      </c>
      <c r="P64" s="18">
        <f t="shared" si="6"/>
        <v>7436</v>
      </c>
      <c r="Q64" s="18"/>
      <c r="R64" s="18"/>
      <c r="S64" s="18">
        <v>315</v>
      </c>
      <c r="T64" s="18"/>
      <c r="U64" s="18"/>
      <c r="V64" s="18">
        <v>0</v>
      </c>
      <c r="W64" s="18"/>
      <c r="X64" s="18"/>
      <c r="Y64" s="18"/>
      <c r="Z64" s="18"/>
      <c r="AA64" s="18"/>
      <c r="AB64" s="18">
        <v>154</v>
      </c>
      <c r="AC64" s="18">
        <v>115</v>
      </c>
      <c r="AD64" s="18">
        <v>998.25</v>
      </c>
      <c r="AE64" s="18"/>
      <c r="AF64" s="18"/>
      <c r="AG64" s="18"/>
      <c r="AH64" s="18"/>
      <c r="AI64" s="57"/>
      <c r="AJ64" s="15"/>
      <c r="AK64" s="18"/>
      <c r="AL64" s="15"/>
      <c r="AM64" s="18">
        <v>21</v>
      </c>
      <c r="AN64" s="18">
        <f t="shared" si="2"/>
        <v>176.4</v>
      </c>
      <c r="AO64" s="18">
        <f t="shared" si="3"/>
        <v>21</v>
      </c>
      <c r="AP64" s="18">
        <f t="shared" si="4"/>
        <v>176.4</v>
      </c>
      <c r="AQ64" s="18">
        <v>0</v>
      </c>
      <c r="AR64" s="18">
        <v>0</v>
      </c>
      <c r="AS64" s="18"/>
      <c r="AT64" s="10"/>
      <c r="AU64" s="18">
        <v>542.37</v>
      </c>
      <c r="AV64" s="89"/>
      <c r="AW64" s="53"/>
    </row>
    <row r="65" spans="1:49" x14ac:dyDescent="0.15">
      <c r="A65" s="48">
        <v>100</v>
      </c>
      <c r="B65" s="6">
        <v>305306482</v>
      </c>
      <c r="C65" s="6" t="s">
        <v>184</v>
      </c>
      <c r="D65" s="46" t="s">
        <v>185</v>
      </c>
      <c r="E65" s="46">
        <v>2190</v>
      </c>
      <c r="F65" s="46" t="s">
        <v>54</v>
      </c>
      <c r="G65" s="46" t="s">
        <v>55</v>
      </c>
      <c r="H65" s="4">
        <v>45312</v>
      </c>
      <c r="I65" s="56"/>
      <c r="J65" s="14">
        <v>448800</v>
      </c>
      <c r="K65" s="60"/>
      <c r="L65" s="18">
        <f t="shared" si="8"/>
        <v>26180</v>
      </c>
      <c r="M65" s="18">
        <f t="shared" si="9"/>
        <v>11220</v>
      </c>
      <c r="N65" s="18">
        <f t="shared" si="7"/>
        <v>37400</v>
      </c>
      <c r="O65" s="18">
        <v>0</v>
      </c>
      <c r="P65" s="18">
        <f t="shared" si="6"/>
        <v>0</v>
      </c>
      <c r="Q65" s="18"/>
      <c r="R65" s="18"/>
      <c r="S65" s="18">
        <v>315</v>
      </c>
      <c r="T65" s="18"/>
      <c r="U65" s="18"/>
      <c r="V65" s="18">
        <v>0</v>
      </c>
      <c r="W65" s="18"/>
      <c r="X65" s="18"/>
      <c r="Y65" s="18"/>
      <c r="Z65" s="18"/>
      <c r="AA65" s="18"/>
      <c r="AB65" s="18">
        <v>154</v>
      </c>
      <c r="AC65" s="18">
        <v>115</v>
      </c>
      <c r="AD65" s="18">
        <v>881.9</v>
      </c>
      <c r="AE65" s="18"/>
      <c r="AF65" s="18"/>
      <c r="AG65" s="18"/>
      <c r="AH65" s="18"/>
      <c r="AI65" s="57"/>
      <c r="AJ65" s="15"/>
      <c r="AK65" s="18"/>
      <c r="AL65" s="15"/>
      <c r="AM65" s="18">
        <v>21</v>
      </c>
      <c r="AN65" s="18">
        <f t="shared" si="2"/>
        <v>176.4</v>
      </c>
      <c r="AO65" s="18">
        <f t="shared" si="3"/>
        <v>21</v>
      </c>
      <c r="AP65" s="18">
        <f t="shared" si="4"/>
        <v>176.4</v>
      </c>
      <c r="AQ65" s="18">
        <v>0</v>
      </c>
      <c r="AR65" s="18">
        <v>0</v>
      </c>
      <c r="AS65" s="18"/>
      <c r="AT65" s="10"/>
      <c r="AU65" s="18"/>
      <c r="AV65" s="89"/>
      <c r="AW65" s="53"/>
    </row>
    <row r="66" spans="1:49" x14ac:dyDescent="0.15">
      <c r="A66" s="48">
        <v>105</v>
      </c>
      <c r="B66" s="6">
        <v>203080957</v>
      </c>
      <c r="C66" s="6" t="s">
        <v>186</v>
      </c>
      <c r="D66" s="46" t="s">
        <v>187</v>
      </c>
      <c r="E66" s="46">
        <v>2160</v>
      </c>
      <c r="F66" s="46" t="s">
        <v>54</v>
      </c>
      <c r="G66" s="46" t="s">
        <v>55</v>
      </c>
      <c r="H66" s="4">
        <v>45354</v>
      </c>
      <c r="I66" s="56"/>
      <c r="J66" s="14">
        <v>530400</v>
      </c>
      <c r="K66" s="60"/>
      <c r="L66" s="18">
        <f t="shared" si="8"/>
        <v>30939.999999999996</v>
      </c>
      <c r="M66" s="18">
        <f t="shared" si="9"/>
        <v>13260</v>
      </c>
      <c r="N66" s="18">
        <f t="shared" si="7"/>
        <v>44200</v>
      </c>
      <c r="O66" s="18">
        <v>15</v>
      </c>
      <c r="P66" s="18">
        <f t="shared" si="6"/>
        <v>6630</v>
      </c>
      <c r="Q66" s="18"/>
      <c r="R66" s="18"/>
      <c r="S66" s="18">
        <v>315</v>
      </c>
      <c r="T66" s="18"/>
      <c r="U66" s="18"/>
      <c r="V66" s="18">
        <v>0</v>
      </c>
      <c r="W66" s="18"/>
      <c r="X66" s="18"/>
      <c r="Y66" s="18"/>
      <c r="Z66" s="18"/>
      <c r="AA66" s="18"/>
      <c r="AB66" s="18">
        <v>154</v>
      </c>
      <c r="AC66" s="18">
        <v>115</v>
      </c>
      <c r="AD66" s="18">
        <v>999.05</v>
      </c>
      <c r="AE66" s="18"/>
      <c r="AF66" s="18"/>
      <c r="AG66" s="18"/>
      <c r="AH66" s="18"/>
      <c r="AI66" s="57"/>
      <c r="AJ66" s="15"/>
      <c r="AK66" s="18"/>
      <c r="AL66" s="15"/>
      <c r="AM66" s="18">
        <v>21</v>
      </c>
      <c r="AN66" s="18">
        <f t="shared" ref="AN66:AN98" si="10">AM66*8.4</f>
        <v>176.4</v>
      </c>
      <c r="AO66" s="18">
        <f t="shared" ref="AO66:AO98" si="11">AM66-AQ66-AR66</f>
        <v>19</v>
      </c>
      <c r="AP66" s="18">
        <f t="shared" ref="AP66:AP98" si="12">AO66*8.4</f>
        <v>159.6</v>
      </c>
      <c r="AQ66" s="18">
        <v>0</v>
      </c>
      <c r="AR66" s="18">
        <v>2</v>
      </c>
      <c r="AS66" s="18"/>
      <c r="AT66" s="10"/>
      <c r="AU66" s="18"/>
      <c r="AV66" s="89"/>
      <c r="AW66" s="53"/>
    </row>
    <row r="67" spans="1:49" x14ac:dyDescent="0.15">
      <c r="A67" s="48">
        <v>102</v>
      </c>
      <c r="B67" s="6">
        <v>32112336</v>
      </c>
      <c r="C67" s="6" t="s">
        <v>188</v>
      </c>
      <c r="D67" s="46" t="s">
        <v>189</v>
      </c>
      <c r="E67" s="46">
        <v>2460</v>
      </c>
      <c r="F67" s="46" t="s">
        <v>54</v>
      </c>
      <c r="G67" s="46" t="s">
        <v>55</v>
      </c>
      <c r="H67" s="4">
        <v>45354</v>
      </c>
      <c r="I67" s="56"/>
      <c r="J67" s="14">
        <v>959723.1</v>
      </c>
      <c r="K67" s="60"/>
      <c r="L67" s="18">
        <f t="shared" si="8"/>
        <v>55983.847499999996</v>
      </c>
      <c r="M67" s="18">
        <f t="shared" si="9"/>
        <v>23993.077499999999</v>
      </c>
      <c r="N67" s="18">
        <f t="shared" si="7"/>
        <v>79976.924999999988</v>
      </c>
      <c r="O67" s="18">
        <v>7</v>
      </c>
      <c r="P67" s="18">
        <f t="shared" ref="P67:P98" si="13">(N67+W67+X67+AA67+T67+R67)*O67%</f>
        <v>5598.3847500000002</v>
      </c>
      <c r="Q67" s="18"/>
      <c r="R67" s="18"/>
      <c r="S67" s="18">
        <v>315</v>
      </c>
      <c r="T67" s="18"/>
      <c r="U67" s="18"/>
      <c r="V67" s="18">
        <v>0</v>
      </c>
      <c r="W67" s="18"/>
      <c r="X67" s="18"/>
      <c r="Y67" s="18"/>
      <c r="Z67" s="18"/>
      <c r="AA67" s="18"/>
      <c r="AB67" s="18">
        <v>154</v>
      </c>
      <c r="AC67" s="18">
        <v>115</v>
      </c>
      <c r="AD67" s="18">
        <v>973.28</v>
      </c>
      <c r="AE67" s="18"/>
      <c r="AF67" s="18"/>
      <c r="AG67" s="18"/>
      <c r="AH67" s="18"/>
      <c r="AI67" s="57"/>
      <c r="AJ67" s="15"/>
      <c r="AK67" s="18"/>
      <c r="AL67" s="15"/>
      <c r="AM67" s="18">
        <v>21</v>
      </c>
      <c r="AN67" s="18">
        <f t="shared" si="10"/>
        <v>176.4</v>
      </c>
      <c r="AO67" s="18">
        <f t="shared" si="11"/>
        <v>21</v>
      </c>
      <c r="AP67" s="18">
        <f t="shared" si="12"/>
        <v>176.4</v>
      </c>
      <c r="AQ67" s="18">
        <v>0</v>
      </c>
      <c r="AR67" s="18">
        <v>0</v>
      </c>
      <c r="AS67" s="18"/>
      <c r="AT67" s="10"/>
      <c r="AU67" s="18"/>
      <c r="AV67" s="89"/>
      <c r="AW67" s="53"/>
    </row>
    <row r="68" spans="1:49" x14ac:dyDescent="0.15">
      <c r="A68" s="48">
        <v>101</v>
      </c>
      <c r="B68" s="6">
        <v>308911635</v>
      </c>
      <c r="C68" s="6" t="s">
        <v>190</v>
      </c>
      <c r="D68" s="46" t="s">
        <v>191</v>
      </c>
      <c r="E68" s="46">
        <v>2160</v>
      </c>
      <c r="F68" s="46" t="s">
        <v>54</v>
      </c>
      <c r="G68" s="46" t="s">
        <v>55</v>
      </c>
      <c r="H68" s="4">
        <v>45354</v>
      </c>
      <c r="I68" s="56"/>
      <c r="J68" s="14">
        <v>681000</v>
      </c>
      <c r="K68" s="60"/>
      <c r="L68" s="18">
        <f t="shared" si="8"/>
        <v>39725</v>
      </c>
      <c r="M68" s="18">
        <f t="shared" si="9"/>
        <v>17025</v>
      </c>
      <c r="N68" s="18">
        <f t="shared" si="7"/>
        <v>56750</v>
      </c>
      <c r="O68" s="18">
        <v>0</v>
      </c>
      <c r="P68" s="18">
        <f t="shared" si="13"/>
        <v>0</v>
      </c>
      <c r="Q68" s="18"/>
      <c r="R68" s="18"/>
      <c r="S68" s="18">
        <v>315</v>
      </c>
      <c r="T68" s="18"/>
      <c r="U68" s="18"/>
      <c r="V68" s="18">
        <v>0</v>
      </c>
      <c r="W68" s="18"/>
      <c r="X68" s="18"/>
      <c r="Y68" s="18"/>
      <c r="Z68" s="18"/>
      <c r="AA68" s="18"/>
      <c r="AB68" s="18">
        <v>154</v>
      </c>
      <c r="AC68" s="18">
        <v>115</v>
      </c>
      <c r="AD68" s="18">
        <v>950.6</v>
      </c>
      <c r="AE68" s="18"/>
      <c r="AF68" s="18"/>
      <c r="AG68" s="18"/>
      <c r="AH68" s="18"/>
      <c r="AI68" s="57"/>
      <c r="AJ68" s="15"/>
      <c r="AK68" s="18"/>
      <c r="AL68" s="15"/>
      <c r="AM68" s="18">
        <v>21</v>
      </c>
      <c r="AN68" s="18">
        <f t="shared" si="10"/>
        <v>176.4</v>
      </c>
      <c r="AO68" s="18">
        <f t="shared" si="11"/>
        <v>21</v>
      </c>
      <c r="AP68" s="18">
        <f t="shared" si="12"/>
        <v>176.4</v>
      </c>
      <c r="AQ68" s="18">
        <v>0</v>
      </c>
      <c r="AR68" s="18">
        <v>0</v>
      </c>
      <c r="AS68" s="18"/>
      <c r="AT68" s="10"/>
      <c r="AU68" s="18"/>
      <c r="AV68" s="89"/>
      <c r="AW68" s="53"/>
    </row>
    <row r="69" spans="1:49" x14ac:dyDescent="0.15">
      <c r="A69" s="48">
        <v>103</v>
      </c>
      <c r="B69" s="6">
        <v>208207027</v>
      </c>
      <c r="C69" s="6" t="s">
        <v>192</v>
      </c>
      <c r="D69" s="46" t="s">
        <v>193</v>
      </c>
      <c r="E69" s="46">
        <v>2885</v>
      </c>
      <c r="F69" s="46" t="s">
        <v>54</v>
      </c>
      <c r="G69" s="46" t="s">
        <v>55</v>
      </c>
      <c r="H69" s="4">
        <v>45375</v>
      </c>
      <c r="I69" s="56"/>
      <c r="J69" s="14">
        <v>684000</v>
      </c>
      <c r="K69" s="60"/>
      <c r="L69" s="18">
        <f t="shared" si="8"/>
        <v>39900</v>
      </c>
      <c r="M69" s="18">
        <f t="shared" si="9"/>
        <v>17100</v>
      </c>
      <c r="N69" s="18">
        <f t="shared" si="7"/>
        <v>57000</v>
      </c>
      <c r="O69" s="18">
        <v>13</v>
      </c>
      <c r="P69" s="18">
        <f t="shared" si="13"/>
        <v>7410</v>
      </c>
      <c r="Q69" s="18"/>
      <c r="R69" s="18"/>
      <c r="S69" s="18">
        <v>315</v>
      </c>
      <c r="T69" s="18"/>
      <c r="U69" s="18"/>
      <c r="V69" s="18">
        <v>0</v>
      </c>
      <c r="W69" s="18"/>
      <c r="X69" s="18"/>
      <c r="Y69" s="18"/>
      <c r="Z69" s="18"/>
      <c r="AA69" s="18"/>
      <c r="AB69" s="18">
        <v>154</v>
      </c>
      <c r="AC69" s="18">
        <v>115</v>
      </c>
      <c r="AD69" s="18">
        <v>1000</v>
      </c>
      <c r="AE69" s="18"/>
      <c r="AF69" s="18"/>
      <c r="AG69" s="18"/>
      <c r="AH69" s="18"/>
      <c r="AI69" s="57"/>
      <c r="AJ69" s="15"/>
      <c r="AK69" s="18"/>
      <c r="AL69" s="15"/>
      <c r="AM69" s="18">
        <v>21</v>
      </c>
      <c r="AN69" s="18">
        <f t="shared" si="10"/>
        <v>176.4</v>
      </c>
      <c r="AO69" s="18">
        <f t="shared" si="11"/>
        <v>21</v>
      </c>
      <c r="AP69" s="18">
        <f t="shared" si="12"/>
        <v>176.4</v>
      </c>
      <c r="AQ69" s="18">
        <v>0</v>
      </c>
      <c r="AR69" s="18">
        <v>0</v>
      </c>
      <c r="AS69" s="18"/>
      <c r="AT69" s="10"/>
      <c r="AU69" s="18"/>
      <c r="AV69" s="89"/>
      <c r="AW69" s="53"/>
    </row>
    <row r="70" spans="1:49" x14ac:dyDescent="0.15">
      <c r="A70" s="48">
        <v>104</v>
      </c>
      <c r="B70" s="6">
        <v>201179025</v>
      </c>
      <c r="C70" s="6" t="s">
        <v>194</v>
      </c>
      <c r="D70" s="46" t="s">
        <v>195</v>
      </c>
      <c r="E70" s="46">
        <v>2160</v>
      </c>
      <c r="F70" s="46" t="s">
        <v>54</v>
      </c>
      <c r="G70" s="46" t="s">
        <v>55</v>
      </c>
      <c r="H70" s="4">
        <v>45375</v>
      </c>
      <c r="I70" s="56"/>
      <c r="J70" s="14">
        <v>474422.4</v>
      </c>
      <c r="K70" s="60"/>
      <c r="L70" s="18">
        <f t="shared" si="8"/>
        <v>27674.640000000003</v>
      </c>
      <c r="M70" s="18">
        <f t="shared" si="9"/>
        <v>11860.560000000001</v>
      </c>
      <c r="N70" s="18">
        <f t="shared" si="7"/>
        <v>39535.200000000004</v>
      </c>
      <c r="O70" s="18">
        <v>15</v>
      </c>
      <c r="P70" s="18">
        <f t="shared" si="13"/>
        <v>5930.2800000000007</v>
      </c>
      <c r="Q70" s="18"/>
      <c r="R70" s="18"/>
      <c r="S70" s="18">
        <v>315</v>
      </c>
      <c r="T70" s="18"/>
      <c r="U70" s="18"/>
      <c r="V70" s="18">
        <v>0</v>
      </c>
      <c r="W70" s="18"/>
      <c r="X70" s="18"/>
      <c r="Y70" s="18"/>
      <c r="Z70" s="18"/>
      <c r="AA70" s="18"/>
      <c r="AB70" s="18">
        <v>154</v>
      </c>
      <c r="AC70" s="18">
        <v>115</v>
      </c>
      <c r="AD70" s="18">
        <v>998.22</v>
      </c>
      <c r="AE70" s="18"/>
      <c r="AF70" s="18"/>
      <c r="AG70" s="18"/>
      <c r="AH70" s="18"/>
      <c r="AI70" s="57"/>
      <c r="AJ70" s="15"/>
      <c r="AK70" s="18"/>
      <c r="AL70" s="15"/>
      <c r="AM70" s="18">
        <v>21</v>
      </c>
      <c r="AN70" s="18">
        <f t="shared" si="10"/>
        <v>176.4</v>
      </c>
      <c r="AO70" s="18">
        <f t="shared" si="11"/>
        <v>21</v>
      </c>
      <c r="AP70" s="18">
        <f t="shared" si="12"/>
        <v>176.4</v>
      </c>
      <c r="AQ70" s="18">
        <v>0</v>
      </c>
      <c r="AR70" s="18">
        <v>0</v>
      </c>
      <c r="AS70" s="18"/>
      <c r="AT70" s="10"/>
      <c r="AU70" s="18">
        <v>100</v>
      </c>
      <c r="AV70" s="89"/>
      <c r="AW70" s="53"/>
    </row>
    <row r="71" spans="1:49" x14ac:dyDescent="0.15">
      <c r="A71" s="48">
        <v>106</v>
      </c>
      <c r="B71" s="6">
        <v>300759842</v>
      </c>
      <c r="C71" s="6" t="s">
        <v>196</v>
      </c>
      <c r="D71" s="46" t="s">
        <v>197</v>
      </c>
      <c r="E71" s="46">
        <v>2885</v>
      </c>
      <c r="F71" s="46" t="s">
        <v>54</v>
      </c>
      <c r="G71" s="46" t="s">
        <v>55</v>
      </c>
      <c r="H71" s="4">
        <v>45396</v>
      </c>
      <c r="I71" s="56"/>
      <c r="J71" s="14">
        <v>504000</v>
      </c>
      <c r="K71" s="60"/>
      <c r="L71" s="18">
        <f t="shared" si="8"/>
        <v>29399.999999999996</v>
      </c>
      <c r="M71" s="18">
        <f t="shared" si="9"/>
        <v>12600</v>
      </c>
      <c r="N71" s="18">
        <f t="shared" si="7"/>
        <v>42000</v>
      </c>
      <c r="O71" s="18">
        <v>12</v>
      </c>
      <c r="P71" s="18">
        <f t="shared" si="13"/>
        <v>5040</v>
      </c>
      <c r="Q71" s="18"/>
      <c r="R71" s="18"/>
      <c r="S71" s="18">
        <v>315</v>
      </c>
      <c r="T71" s="18"/>
      <c r="U71" s="18"/>
      <c r="V71" s="18">
        <v>0</v>
      </c>
      <c r="W71" s="18"/>
      <c r="X71" s="18"/>
      <c r="Y71" s="18"/>
      <c r="Z71" s="18"/>
      <c r="AA71" s="18"/>
      <c r="AB71" s="18">
        <v>154</v>
      </c>
      <c r="AC71" s="18">
        <v>115</v>
      </c>
      <c r="AD71" s="18">
        <v>1000</v>
      </c>
      <c r="AE71" s="18"/>
      <c r="AF71" s="18"/>
      <c r="AG71" s="18"/>
      <c r="AH71" s="18"/>
      <c r="AI71" s="57"/>
      <c r="AJ71" s="15"/>
      <c r="AK71" s="18"/>
      <c r="AL71" s="15"/>
      <c r="AM71" s="18">
        <v>21</v>
      </c>
      <c r="AN71" s="18">
        <f t="shared" si="10"/>
        <v>176.4</v>
      </c>
      <c r="AO71" s="18">
        <f t="shared" si="11"/>
        <v>21</v>
      </c>
      <c r="AP71" s="18">
        <f t="shared" si="12"/>
        <v>176.4</v>
      </c>
      <c r="AQ71" s="18">
        <v>0</v>
      </c>
      <c r="AR71" s="18">
        <v>0</v>
      </c>
      <c r="AS71" s="18"/>
      <c r="AT71" s="10"/>
      <c r="AU71" s="18"/>
      <c r="AV71" s="89"/>
      <c r="AW71" s="53"/>
    </row>
    <row r="72" spans="1:49" x14ac:dyDescent="0.15">
      <c r="A72" s="48">
        <v>108</v>
      </c>
      <c r="B72" s="6">
        <v>36193886</v>
      </c>
      <c r="C72" s="6" t="s">
        <v>198</v>
      </c>
      <c r="D72" s="46" t="s">
        <v>199</v>
      </c>
      <c r="E72" s="46">
        <v>2410</v>
      </c>
      <c r="F72" s="46" t="s">
        <v>54</v>
      </c>
      <c r="G72" s="46" t="s">
        <v>55</v>
      </c>
      <c r="H72" s="4">
        <v>45403</v>
      </c>
      <c r="I72" s="56"/>
      <c r="J72" s="14">
        <v>599040</v>
      </c>
      <c r="K72" s="60"/>
      <c r="L72" s="18">
        <f t="shared" si="8"/>
        <v>34944</v>
      </c>
      <c r="M72" s="18">
        <f t="shared" si="9"/>
        <v>14976</v>
      </c>
      <c r="N72" s="18">
        <f>SUM(L72:M72)</f>
        <v>49920</v>
      </c>
      <c r="O72" s="18">
        <v>15</v>
      </c>
      <c r="P72" s="18">
        <f t="shared" si="13"/>
        <v>7488</v>
      </c>
      <c r="Q72" s="18"/>
      <c r="R72" s="18"/>
      <c r="S72" s="18">
        <v>315</v>
      </c>
      <c r="T72" s="18"/>
      <c r="U72" s="18"/>
      <c r="V72" s="18">
        <v>0</v>
      </c>
      <c r="W72" s="18"/>
      <c r="X72" s="18"/>
      <c r="Y72" s="18"/>
      <c r="Z72" s="18"/>
      <c r="AA72" s="18"/>
      <c r="AB72" s="18">
        <v>154</v>
      </c>
      <c r="AC72" s="18">
        <v>115</v>
      </c>
      <c r="AD72" s="18">
        <v>999.99</v>
      </c>
      <c r="AE72" s="18"/>
      <c r="AF72" s="18"/>
      <c r="AG72" s="18"/>
      <c r="AH72" s="18"/>
      <c r="AI72" s="57"/>
      <c r="AJ72" s="15"/>
      <c r="AK72" s="18"/>
      <c r="AL72" s="15"/>
      <c r="AM72" s="18">
        <v>21</v>
      </c>
      <c r="AN72" s="18">
        <f t="shared" si="10"/>
        <v>176.4</v>
      </c>
      <c r="AO72" s="18">
        <f t="shared" si="11"/>
        <v>21</v>
      </c>
      <c r="AP72" s="18">
        <f t="shared" si="12"/>
        <v>176.4</v>
      </c>
      <c r="AQ72" s="18">
        <v>0</v>
      </c>
      <c r="AR72" s="18">
        <v>0</v>
      </c>
      <c r="AS72" s="18"/>
      <c r="AT72" s="10"/>
      <c r="AU72" s="18"/>
      <c r="AV72" s="89"/>
      <c r="AW72" s="53"/>
    </row>
    <row r="73" spans="1:49" x14ac:dyDescent="0.15">
      <c r="A73" s="48">
        <v>107</v>
      </c>
      <c r="B73" s="6">
        <v>315670182</v>
      </c>
      <c r="C73" s="6" t="s">
        <v>200</v>
      </c>
      <c r="D73" s="46" t="s">
        <v>201</v>
      </c>
      <c r="E73" s="46">
        <v>2450</v>
      </c>
      <c r="F73" s="46" t="s">
        <v>54</v>
      </c>
      <c r="G73" s="46" t="s">
        <v>55</v>
      </c>
      <c r="H73" s="4">
        <v>45403</v>
      </c>
      <c r="I73" s="56"/>
      <c r="J73" s="14">
        <v>378000</v>
      </c>
      <c r="K73" s="60"/>
      <c r="L73" s="18">
        <f t="shared" si="8"/>
        <v>22050</v>
      </c>
      <c r="M73" s="18">
        <f t="shared" si="9"/>
        <v>9450</v>
      </c>
      <c r="N73" s="18">
        <f>SUM(L73:M73)</f>
        <v>31500</v>
      </c>
      <c r="O73" s="18">
        <v>15</v>
      </c>
      <c r="P73" s="18">
        <f t="shared" si="13"/>
        <v>4725</v>
      </c>
      <c r="Q73" s="18"/>
      <c r="R73" s="18"/>
      <c r="S73" s="18">
        <v>315</v>
      </c>
      <c r="T73" s="18"/>
      <c r="U73" s="18"/>
      <c r="V73" s="18">
        <v>150</v>
      </c>
      <c r="W73" s="18"/>
      <c r="X73" s="18"/>
      <c r="Y73" s="18"/>
      <c r="Z73" s="18"/>
      <c r="AA73" s="18"/>
      <c r="AB73" s="18">
        <v>154</v>
      </c>
      <c r="AC73" s="18">
        <v>115</v>
      </c>
      <c r="AD73" s="18">
        <v>999.6</v>
      </c>
      <c r="AE73" s="18"/>
      <c r="AF73" s="18"/>
      <c r="AG73" s="18"/>
      <c r="AH73" s="18"/>
      <c r="AI73" s="57"/>
      <c r="AJ73" s="15"/>
      <c r="AK73" s="18"/>
      <c r="AL73" s="15"/>
      <c r="AM73" s="18">
        <v>21</v>
      </c>
      <c r="AN73" s="18">
        <f t="shared" si="10"/>
        <v>176.4</v>
      </c>
      <c r="AO73" s="18">
        <f t="shared" si="11"/>
        <v>21</v>
      </c>
      <c r="AP73" s="18">
        <f t="shared" si="12"/>
        <v>176.4</v>
      </c>
      <c r="AQ73" s="18">
        <v>0</v>
      </c>
      <c r="AR73" s="18">
        <v>0</v>
      </c>
      <c r="AS73" s="18"/>
      <c r="AT73" s="10"/>
      <c r="AU73" s="18"/>
      <c r="AV73" s="89"/>
      <c r="AW73" s="53"/>
    </row>
    <row r="74" spans="1:49" x14ac:dyDescent="0.15">
      <c r="A74" s="48">
        <v>109</v>
      </c>
      <c r="B74" s="6">
        <v>311492110</v>
      </c>
      <c r="C74" s="30" t="s">
        <v>202</v>
      </c>
      <c r="D74" s="10" t="s">
        <v>203</v>
      </c>
      <c r="E74" s="46">
        <v>2410</v>
      </c>
      <c r="F74" s="46" t="s">
        <v>54</v>
      </c>
      <c r="G74" s="46" t="s">
        <v>55</v>
      </c>
      <c r="H74" s="4">
        <v>45473</v>
      </c>
      <c r="I74" s="56"/>
      <c r="J74" s="14">
        <v>534240</v>
      </c>
      <c r="K74" s="60"/>
      <c r="L74" s="18">
        <f t="shared" si="8"/>
        <v>31163.999999999996</v>
      </c>
      <c r="M74" s="18">
        <f t="shared" si="9"/>
        <v>13356</v>
      </c>
      <c r="N74" s="18">
        <f>SUM(L74:M74)</f>
        <v>44520</v>
      </c>
      <c r="O74" s="18">
        <v>0</v>
      </c>
      <c r="P74" s="18">
        <f t="shared" si="13"/>
        <v>0</v>
      </c>
      <c r="Q74" s="18"/>
      <c r="R74" s="18"/>
      <c r="S74" s="18">
        <v>315</v>
      </c>
      <c r="T74" s="18"/>
      <c r="U74" s="18"/>
      <c r="V74" s="18">
        <v>0</v>
      </c>
      <c r="W74" s="18"/>
      <c r="X74" s="18"/>
      <c r="Y74" s="18"/>
      <c r="Z74" s="18"/>
      <c r="AA74" s="18"/>
      <c r="AB74" s="18">
        <v>154</v>
      </c>
      <c r="AC74" s="18">
        <v>115</v>
      </c>
      <c r="AD74" s="18">
        <v>1000</v>
      </c>
      <c r="AE74" s="18"/>
      <c r="AF74" s="18"/>
      <c r="AG74" s="18"/>
      <c r="AH74" s="18"/>
      <c r="AI74" s="57"/>
      <c r="AJ74" s="15"/>
      <c r="AK74" s="18"/>
      <c r="AL74" s="15"/>
      <c r="AM74" s="18">
        <v>21</v>
      </c>
      <c r="AN74" s="18">
        <f t="shared" si="10"/>
        <v>176.4</v>
      </c>
      <c r="AO74" s="18">
        <f t="shared" si="11"/>
        <v>16</v>
      </c>
      <c r="AP74" s="18">
        <f t="shared" si="12"/>
        <v>134.4</v>
      </c>
      <c r="AQ74" s="18">
        <v>5</v>
      </c>
      <c r="AR74" s="18">
        <v>0</v>
      </c>
      <c r="AS74" s="10"/>
      <c r="AT74" s="10"/>
      <c r="AU74" s="18">
        <v>354</v>
      </c>
      <c r="AV74" s="89"/>
      <c r="AW74" s="53"/>
    </row>
    <row r="75" spans="1:49" x14ac:dyDescent="0.15">
      <c r="A75" s="69">
        <v>111</v>
      </c>
      <c r="B75" s="30">
        <v>301380788</v>
      </c>
      <c r="C75" s="30" t="s">
        <v>204</v>
      </c>
      <c r="D75" s="10" t="s">
        <v>205</v>
      </c>
      <c r="E75" s="46">
        <v>2192</v>
      </c>
      <c r="F75" s="46" t="s">
        <v>54</v>
      </c>
      <c r="G75" s="46" t="s">
        <v>55</v>
      </c>
      <c r="H75" s="4">
        <v>44977</v>
      </c>
      <c r="I75" s="26"/>
      <c r="J75" s="14">
        <v>562432</v>
      </c>
      <c r="K75" s="60"/>
      <c r="L75" s="18">
        <f t="shared" si="8"/>
        <v>32808.533333333333</v>
      </c>
      <c r="M75" s="18">
        <f t="shared" si="9"/>
        <v>14060.800000000001</v>
      </c>
      <c r="N75" s="18">
        <f t="shared" ref="N75:N87" si="14">SUM(L75:M75)</f>
        <v>46869.333333333336</v>
      </c>
      <c r="O75" s="65">
        <v>15</v>
      </c>
      <c r="P75" s="18">
        <f t="shared" si="13"/>
        <v>7030.4000000000005</v>
      </c>
      <c r="Q75" s="18"/>
      <c r="R75" s="18"/>
      <c r="S75" s="18">
        <v>315</v>
      </c>
      <c r="T75" s="18"/>
      <c r="U75" s="65"/>
      <c r="V75" s="18">
        <v>0</v>
      </c>
      <c r="W75" s="65"/>
      <c r="X75" s="18"/>
      <c r="Y75" s="65"/>
      <c r="Z75" s="65"/>
      <c r="AA75" s="18"/>
      <c r="AB75" s="18">
        <v>154</v>
      </c>
      <c r="AC75" s="18">
        <v>115</v>
      </c>
      <c r="AD75" s="18">
        <v>1000</v>
      </c>
      <c r="AE75" s="18"/>
      <c r="AF75" s="18"/>
      <c r="AG75" s="18"/>
      <c r="AH75" s="18"/>
      <c r="AI75" s="57"/>
      <c r="AJ75" s="15"/>
      <c r="AK75" s="18"/>
      <c r="AL75" s="15"/>
      <c r="AM75" s="18">
        <v>21</v>
      </c>
      <c r="AN75" s="18">
        <f t="shared" si="10"/>
        <v>176.4</v>
      </c>
      <c r="AO75" s="18">
        <f t="shared" si="11"/>
        <v>21</v>
      </c>
      <c r="AP75" s="18">
        <f t="shared" si="12"/>
        <v>176.4</v>
      </c>
      <c r="AQ75" s="18">
        <v>0</v>
      </c>
      <c r="AR75" s="18">
        <v>0</v>
      </c>
      <c r="AS75" s="22"/>
      <c r="AT75" s="22"/>
      <c r="AU75" s="18"/>
      <c r="AV75" s="88"/>
      <c r="AW75" s="53"/>
    </row>
    <row r="76" spans="1:49" x14ac:dyDescent="0.15">
      <c r="A76" s="69">
        <v>112</v>
      </c>
      <c r="B76" s="30">
        <v>300885258</v>
      </c>
      <c r="C76" s="30" t="s">
        <v>206</v>
      </c>
      <c r="D76" s="10" t="s">
        <v>207</v>
      </c>
      <c r="E76" s="46">
        <v>2192</v>
      </c>
      <c r="F76" s="46" t="s">
        <v>54</v>
      </c>
      <c r="G76" s="46" t="s">
        <v>55</v>
      </c>
      <c r="H76" s="4">
        <v>44977</v>
      </c>
      <c r="I76" s="26"/>
      <c r="J76" s="14">
        <v>592300</v>
      </c>
      <c r="K76" s="60"/>
      <c r="L76" s="18">
        <f t="shared" si="8"/>
        <v>34550.833333333336</v>
      </c>
      <c r="M76" s="18">
        <f t="shared" si="9"/>
        <v>14807.5</v>
      </c>
      <c r="N76" s="18">
        <f t="shared" si="14"/>
        <v>49358.333333333336</v>
      </c>
      <c r="O76" s="65">
        <v>13</v>
      </c>
      <c r="P76" s="18">
        <f t="shared" si="13"/>
        <v>6416.5833333333339</v>
      </c>
      <c r="Q76" s="18"/>
      <c r="R76" s="18"/>
      <c r="S76" s="18">
        <v>315</v>
      </c>
      <c r="T76" s="18"/>
      <c r="U76" s="65"/>
      <c r="V76" s="18">
        <v>0</v>
      </c>
      <c r="W76" s="65"/>
      <c r="X76" s="18"/>
      <c r="Y76" s="65"/>
      <c r="Z76" s="65"/>
      <c r="AA76" s="18"/>
      <c r="AB76" s="18">
        <v>154</v>
      </c>
      <c r="AC76" s="18">
        <v>115</v>
      </c>
      <c r="AD76" s="18">
        <v>999.9</v>
      </c>
      <c r="AE76" s="18"/>
      <c r="AF76" s="18"/>
      <c r="AG76" s="18"/>
      <c r="AH76" s="18"/>
      <c r="AI76" s="57"/>
      <c r="AJ76" s="15"/>
      <c r="AK76" s="18"/>
      <c r="AL76" s="15"/>
      <c r="AM76" s="18">
        <v>21</v>
      </c>
      <c r="AN76" s="18">
        <f t="shared" si="10"/>
        <v>176.4</v>
      </c>
      <c r="AO76" s="18">
        <f t="shared" si="11"/>
        <v>20.5</v>
      </c>
      <c r="AP76" s="18">
        <f t="shared" si="12"/>
        <v>172.20000000000002</v>
      </c>
      <c r="AQ76" s="18">
        <v>0.5</v>
      </c>
      <c r="AR76" s="18">
        <v>0</v>
      </c>
      <c r="AS76" s="22"/>
      <c r="AT76" s="22"/>
      <c r="AU76" s="18"/>
      <c r="AV76" s="88"/>
      <c r="AW76" s="53"/>
    </row>
    <row r="77" spans="1:49" x14ac:dyDescent="0.15">
      <c r="A77" s="69">
        <v>113</v>
      </c>
      <c r="B77" s="30">
        <v>306555863</v>
      </c>
      <c r="C77" s="30" t="s">
        <v>208</v>
      </c>
      <c r="D77" s="10" t="s">
        <v>209</v>
      </c>
      <c r="E77" s="46">
        <v>2540</v>
      </c>
      <c r="F77" s="46" t="s">
        <v>54</v>
      </c>
      <c r="G77" s="46" t="s">
        <v>55</v>
      </c>
      <c r="H77" s="4">
        <v>44977</v>
      </c>
      <c r="I77" s="26"/>
      <c r="J77" s="14">
        <v>752103</v>
      </c>
      <c r="K77" s="60"/>
      <c r="L77" s="18">
        <f t="shared" si="8"/>
        <v>43872.674999999996</v>
      </c>
      <c r="M77" s="18">
        <f t="shared" si="9"/>
        <v>18802.575000000001</v>
      </c>
      <c r="N77" s="18">
        <f t="shared" si="14"/>
        <v>62675.25</v>
      </c>
      <c r="O77" s="65">
        <v>15</v>
      </c>
      <c r="P77" s="18">
        <f t="shared" si="13"/>
        <v>9401.2875000000004</v>
      </c>
      <c r="Q77" s="18"/>
      <c r="R77" s="18"/>
      <c r="S77" s="18">
        <v>315</v>
      </c>
      <c r="T77" s="18"/>
      <c r="U77" s="65"/>
      <c r="V77" s="18">
        <v>150</v>
      </c>
      <c r="W77" s="65"/>
      <c r="X77" s="18"/>
      <c r="Y77" s="65"/>
      <c r="Z77" s="65"/>
      <c r="AA77" s="18"/>
      <c r="AB77" s="18">
        <v>154</v>
      </c>
      <c r="AC77" s="18">
        <v>115</v>
      </c>
      <c r="AD77" s="18">
        <v>1000</v>
      </c>
      <c r="AE77" s="18"/>
      <c r="AF77" s="18"/>
      <c r="AG77" s="18"/>
      <c r="AH77" s="18"/>
      <c r="AI77" s="57"/>
      <c r="AJ77" s="15"/>
      <c r="AK77" s="18"/>
      <c r="AL77" s="15"/>
      <c r="AM77" s="18">
        <v>21</v>
      </c>
      <c r="AN77" s="18">
        <f t="shared" si="10"/>
        <v>176.4</v>
      </c>
      <c r="AO77" s="18">
        <f t="shared" si="11"/>
        <v>21</v>
      </c>
      <c r="AP77" s="18">
        <f t="shared" si="12"/>
        <v>176.4</v>
      </c>
      <c r="AQ77" s="18">
        <v>0</v>
      </c>
      <c r="AR77" s="18">
        <v>0</v>
      </c>
      <c r="AS77" s="22"/>
      <c r="AT77" s="22"/>
      <c r="AU77" s="18">
        <v>14397.779999999999</v>
      </c>
      <c r="AV77" s="88"/>
      <c r="AW77" s="53"/>
    </row>
    <row r="78" spans="1:49" x14ac:dyDescent="0.15">
      <c r="A78" s="69">
        <v>114</v>
      </c>
      <c r="B78" s="30">
        <v>334064102</v>
      </c>
      <c r="C78" s="30" t="s">
        <v>210</v>
      </c>
      <c r="D78" s="10" t="s">
        <v>211</v>
      </c>
      <c r="E78" s="46">
        <v>2192</v>
      </c>
      <c r="F78" s="46" t="s">
        <v>54</v>
      </c>
      <c r="G78" s="46" t="s">
        <v>55</v>
      </c>
      <c r="H78" s="4">
        <v>44977</v>
      </c>
      <c r="I78" s="26"/>
      <c r="J78" s="14">
        <v>391910.40000000002</v>
      </c>
      <c r="K78" s="60"/>
      <c r="L78" s="18">
        <f t="shared" si="8"/>
        <v>22861.439999999999</v>
      </c>
      <c r="M78" s="18">
        <f t="shared" si="9"/>
        <v>9797.76</v>
      </c>
      <c r="N78" s="18">
        <f t="shared" si="14"/>
        <v>32659.199999999997</v>
      </c>
      <c r="O78" s="65">
        <v>2</v>
      </c>
      <c r="P78" s="18">
        <f t="shared" si="13"/>
        <v>653.18399999999997</v>
      </c>
      <c r="Q78" s="18"/>
      <c r="R78" s="18"/>
      <c r="S78" s="18">
        <v>315</v>
      </c>
      <c r="T78" s="18"/>
      <c r="U78" s="65"/>
      <c r="V78" s="18">
        <v>0</v>
      </c>
      <c r="W78" s="65"/>
      <c r="X78" s="18"/>
      <c r="Y78" s="65"/>
      <c r="Z78" s="65"/>
      <c r="AA78" s="18"/>
      <c r="AB78" s="18">
        <v>154</v>
      </c>
      <c r="AC78" s="18">
        <v>115</v>
      </c>
      <c r="AD78" s="18">
        <v>992.09</v>
      </c>
      <c r="AE78" s="18"/>
      <c r="AF78" s="18"/>
      <c r="AG78" s="18"/>
      <c r="AH78" s="18"/>
      <c r="AI78" s="57"/>
      <c r="AJ78" s="15"/>
      <c r="AK78" s="18"/>
      <c r="AL78" s="15"/>
      <c r="AM78" s="18">
        <v>21</v>
      </c>
      <c r="AN78" s="18">
        <f t="shared" si="10"/>
        <v>176.4</v>
      </c>
      <c r="AO78" s="18">
        <f t="shared" si="11"/>
        <v>21</v>
      </c>
      <c r="AP78" s="18">
        <f t="shared" si="12"/>
        <v>176.4</v>
      </c>
      <c r="AQ78" s="18">
        <v>0</v>
      </c>
      <c r="AR78" s="18">
        <v>0</v>
      </c>
      <c r="AS78" s="22"/>
      <c r="AT78" s="22"/>
      <c r="AU78" s="18"/>
      <c r="AV78" s="88"/>
      <c r="AW78" s="53"/>
    </row>
    <row r="79" spans="1:49" x14ac:dyDescent="0.15">
      <c r="A79" s="69">
        <v>115</v>
      </c>
      <c r="B79" s="30">
        <v>208754812</v>
      </c>
      <c r="C79" s="30" t="s">
        <v>212</v>
      </c>
      <c r="D79" s="10" t="s">
        <v>213</v>
      </c>
      <c r="E79" s="46">
        <v>2540</v>
      </c>
      <c r="F79" s="46" t="s">
        <v>54</v>
      </c>
      <c r="G79" s="46" t="s">
        <v>55</v>
      </c>
      <c r="H79" s="4">
        <v>44977</v>
      </c>
      <c r="I79" s="26"/>
      <c r="J79" s="14">
        <v>377711</v>
      </c>
      <c r="K79" s="60"/>
      <c r="L79" s="18">
        <f t="shared" si="8"/>
        <v>22033.141666666666</v>
      </c>
      <c r="M79" s="18">
        <f t="shared" si="9"/>
        <v>9442.7749999999996</v>
      </c>
      <c r="N79" s="18">
        <f t="shared" si="14"/>
        <v>31475.916666666664</v>
      </c>
      <c r="O79" s="65">
        <v>15</v>
      </c>
      <c r="P79" s="18">
        <f t="shared" si="13"/>
        <v>4721.3874999999998</v>
      </c>
      <c r="Q79" s="18"/>
      <c r="R79" s="18"/>
      <c r="S79" s="18">
        <v>315</v>
      </c>
      <c r="T79" s="18"/>
      <c r="U79" s="65"/>
      <c r="V79" s="18">
        <v>0</v>
      </c>
      <c r="W79" s="65"/>
      <c r="X79" s="18"/>
      <c r="Y79" s="65"/>
      <c r="Z79" s="65"/>
      <c r="AA79" s="18"/>
      <c r="AB79" s="18">
        <v>154</v>
      </c>
      <c r="AC79" s="18">
        <v>115</v>
      </c>
      <c r="AD79" s="18">
        <v>1000</v>
      </c>
      <c r="AE79" s="18"/>
      <c r="AF79" s="18"/>
      <c r="AG79" s="18"/>
      <c r="AH79" s="18"/>
      <c r="AI79" s="57"/>
      <c r="AJ79" s="15"/>
      <c r="AK79" s="18"/>
      <c r="AL79" s="15"/>
      <c r="AM79" s="18">
        <v>21</v>
      </c>
      <c r="AN79" s="18">
        <f t="shared" si="10"/>
        <v>176.4</v>
      </c>
      <c r="AO79" s="18">
        <f t="shared" si="11"/>
        <v>18.5</v>
      </c>
      <c r="AP79" s="18">
        <f t="shared" si="12"/>
        <v>155.4</v>
      </c>
      <c r="AQ79" s="18">
        <v>2.5</v>
      </c>
      <c r="AR79" s="18">
        <v>0</v>
      </c>
      <c r="AS79" s="22"/>
      <c r="AT79" s="22"/>
      <c r="AU79" s="18"/>
      <c r="AV79" s="88"/>
      <c r="AW79" s="53"/>
    </row>
    <row r="80" spans="1:49" x14ac:dyDescent="0.15">
      <c r="A80" s="69">
        <v>117</v>
      </c>
      <c r="B80" s="30">
        <v>200338424</v>
      </c>
      <c r="C80" s="30" t="s">
        <v>214</v>
      </c>
      <c r="D80" s="10" t="s">
        <v>215</v>
      </c>
      <c r="E80" s="46">
        <v>2192</v>
      </c>
      <c r="F80" s="46" t="s">
        <v>54</v>
      </c>
      <c r="G80" s="46" t="s">
        <v>55</v>
      </c>
      <c r="H80" s="4">
        <v>44977</v>
      </c>
      <c r="I80" s="26"/>
      <c r="J80" s="14">
        <v>571980</v>
      </c>
      <c r="K80" s="60"/>
      <c r="L80" s="18">
        <f t="shared" si="8"/>
        <v>33365.5</v>
      </c>
      <c r="M80" s="18">
        <f t="shared" si="9"/>
        <v>14299.5</v>
      </c>
      <c r="N80" s="18">
        <f t="shared" si="14"/>
        <v>47665</v>
      </c>
      <c r="O80" s="65">
        <v>15</v>
      </c>
      <c r="P80" s="18">
        <f t="shared" si="13"/>
        <v>7149.75</v>
      </c>
      <c r="Q80" s="18"/>
      <c r="R80" s="18"/>
      <c r="S80" s="18">
        <v>315</v>
      </c>
      <c r="T80" s="18"/>
      <c r="U80" s="65"/>
      <c r="V80" s="18">
        <v>0</v>
      </c>
      <c r="W80" s="65"/>
      <c r="X80" s="18"/>
      <c r="Y80" s="65"/>
      <c r="Z80" s="65"/>
      <c r="AA80" s="18"/>
      <c r="AB80" s="18">
        <v>154</v>
      </c>
      <c r="AC80" s="18">
        <v>115</v>
      </c>
      <c r="AD80" s="18">
        <v>1000</v>
      </c>
      <c r="AE80" s="18"/>
      <c r="AF80" s="18"/>
      <c r="AG80" s="18"/>
      <c r="AH80" s="18"/>
      <c r="AI80" s="57"/>
      <c r="AJ80" s="18"/>
      <c r="AK80" s="18"/>
      <c r="AL80" s="15"/>
      <c r="AM80" s="18">
        <v>21</v>
      </c>
      <c r="AN80" s="18">
        <f t="shared" si="10"/>
        <v>176.4</v>
      </c>
      <c r="AO80" s="18">
        <f t="shared" si="11"/>
        <v>21</v>
      </c>
      <c r="AP80" s="18">
        <f t="shared" si="12"/>
        <v>176.4</v>
      </c>
      <c r="AQ80" s="18">
        <v>0</v>
      </c>
      <c r="AR80" s="18">
        <v>0</v>
      </c>
      <c r="AS80" s="22"/>
      <c r="AT80" s="22"/>
      <c r="AU80" s="18">
        <v>552</v>
      </c>
      <c r="AV80" s="88"/>
      <c r="AW80" s="53"/>
    </row>
    <row r="81" spans="1:49" x14ac:dyDescent="0.15">
      <c r="A81" s="69">
        <v>119</v>
      </c>
      <c r="B81" s="30">
        <v>302223573</v>
      </c>
      <c r="C81" s="30" t="s">
        <v>216</v>
      </c>
      <c r="D81" s="10" t="s">
        <v>217</v>
      </c>
      <c r="E81" s="46">
        <v>2540</v>
      </c>
      <c r="F81" s="46" t="s">
        <v>54</v>
      </c>
      <c r="G81" s="46" t="s">
        <v>55</v>
      </c>
      <c r="H81" s="4">
        <v>44977</v>
      </c>
      <c r="I81" s="26"/>
      <c r="J81" s="14">
        <v>397555</v>
      </c>
      <c r="K81" s="60"/>
      <c r="L81" s="18">
        <f t="shared" si="8"/>
        <v>23190.708333333332</v>
      </c>
      <c r="M81" s="18">
        <f t="shared" si="9"/>
        <v>9938.875</v>
      </c>
      <c r="N81" s="18">
        <f t="shared" si="14"/>
        <v>33129.583333333328</v>
      </c>
      <c r="O81" s="65">
        <v>15</v>
      </c>
      <c r="P81" s="18">
        <f t="shared" si="13"/>
        <v>4969.4374999999991</v>
      </c>
      <c r="Q81" s="18"/>
      <c r="R81" s="18"/>
      <c r="S81" s="18">
        <v>315</v>
      </c>
      <c r="T81" s="18"/>
      <c r="U81" s="65"/>
      <c r="V81" s="18">
        <v>0</v>
      </c>
      <c r="W81" s="65"/>
      <c r="X81" s="18"/>
      <c r="Y81" s="65"/>
      <c r="Z81" s="65"/>
      <c r="AA81" s="18"/>
      <c r="AB81" s="18">
        <v>154</v>
      </c>
      <c r="AC81" s="18">
        <v>115</v>
      </c>
      <c r="AD81" s="18">
        <v>999.1</v>
      </c>
      <c r="AE81" s="18"/>
      <c r="AF81" s="18"/>
      <c r="AG81" s="18"/>
      <c r="AH81" s="18"/>
      <c r="AI81" s="57"/>
      <c r="AJ81" s="15"/>
      <c r="AK81" s="18"/>
      <c r="AL81" s="15"/>
      <c r="AM81" s="18">
        <v>21</v>
      </c>
      <c r="AN81" s="18">
        <f t="shared" si="10"/>
        <v>176.4</v>
      </c>
      <c r="AO81" s="18">
        <f t="shared" si="11"/>
        <v>19</v>
      </c>
      <c r="AP81" s="18">
        <f t="shared" si="12"/>
        <v>159.6</v>
      </c>
      <c r="AQ81" s="18">
        <v>2</v>
      </c>
      <c r="AR81" s="18">
        <v>0</v>
      </c>
      <c r="AS81" s="22"/>
      <c r="AT81" s="22"/>
      <c r="AU81" s="18"/>
      <c r="AV81" s="88"/>
      <c r="AW81" s="53"/>
    </row>
    <row r="82" spans="1:49" x14ac:dyDescent="0.15">
      <c r="A82" s="69">
        <v>122</v>
      </c>
      <c r="B82" s="30">
        <v>34722355</v>
      </c>
      <c r="C82" s="30" t="s">
        <v>218</v>
      </c>
      <c r="D82" s="10" t="s">
        <v>219</v>
      </c>
      <c r="E82" s="46">
        <v>2192</v>
      </c>
      <c r="F82" s="46" t="s">
        <v>54</v>
      </c>
      <c r="G82" s="46" t="s">
        <v>55</v>
      </c>
      <c r="H82" s="4">
        <v>44977</v>
      </c>
      <c r="I82" s="26"/>
      <c r="J82" s="14">
        <v>747060</v>
      </c>
      <c r="K82" s="60"/>
      <c r="L82" s="18">
        <f t="shared" si="8"/>
        <v>43578.5</v>
      </c>
      <c r="M82" s="18">
        <f t="shared" si="9"/>
        <v>18676.5</v>
      </c>
      <c r="N82" s="18">
        <f t="shared" si="14"/>
        <v>62255</v>
      </c>
      <c r="O82" s="65">
        <v>0</v>
      </c>
      <c r="P82" s="18">
        <f t="shared" si="13"/>
        <v>0</v>
      </c>
      <c r="Q82" s="18"/>
      <c r="R82" s="18"/>
      <c r="S82" s="18">
        <v>315</v>
      </c>
      <c r="T82" s="18"/>
      <c r="U82" s="65"/>
      <c r="V82" s="18">
        <v>0</v>
      </c>
      <c r="W82" s="65"/>
      <c r="X82" s="18"/>
      <c r="Y82" s="65"/>
      <c r="Z82" s="65"/>
      <c r="AA82" s="18"/>
      <c r="AB82" s="18">
        <v>154</v>
      </c>
      <c r="AC82" s="18">
        <v>115</v>
      </c>
      <c r="AD82" s="18">
        <v>1000</v>
      </c>
      <c r="AE82" s="18"/>
      <c r="AF82" s="18"/>
      <c r="AG82" s="18"/>
      <c r="AH82" s="18"/>
      <c r="AI82" s="57"/>
      <c r="AJ82" s="15"/>
      <c r="AK82" s="18"/>
      <c r="AL82" s="15"/>
      <c r="AM82" s="18">
        <v>21</v>
      </c>
      <c r="AN82" s="18">
        <f t="shared" si="10"/>
        <v>176.4</v>
      </c>
      <c r="AO82" s="18">
        <f t="shared" si="11"/>
        <v>21</v>
      </c>
      <c r="AP82" s="18">
        <f t="shared" si="12"/>
        <v>176.4</v>
      </c>
      <c r="AQ82" s="18">
        <v>0</v>
      </c>
      <c r="AR82" s="18">
        <v>0</v>
      </c>
      <c r="AS82" s="22"/>
      <c r="AT82" s="22"/>
      <c r="AU82" s="18"/>
      <c r="AV82" s="9"/>
      <c r="AW82" s="53"/>
    </row>
    <row r="83" spans="1:49" x14ac:dyDescent="0.15">
      <c r="A83" s="69">
        <v>127</v>
      </c>
      <c r="B83" s="30">
        <v>209525047</v>
      </c>
      <c r="C83" s="6" t="s">
        <v>220</v>
      </c>
      <c r="D83" s="12" t="s">
        <v>221</v>
      </c>
      <c r="E83" s="46">
        <v>1580</v>
      </c>
      <c r="F83" s="46" t="s">
        <v>54</v>
      </c>
      <c r="G83" s="46" t="s">
        <v>55</v>
      </c>
      <c r="H83" s="4">
        <v>44977</v>
      </c>
      <c r="I83" s="26"/>
      <c r="J83" s="14">
        <v>161965.44</v>
      </c>
      <c r="K83" s="60"/>
      <c r="L83" s="18">
        <f t="shared" si="8"/>
        <v>9447.9840000000004</v>
      </c>
      <c r="M83" s="18">
        <f t="shared" si="9"/>
        <v>4049.136</v>
      </c>
      <c r="N83" s="18">
        <f t="shared" si="14"/>
        <v>13497.12</v>
      </c>
      <c r="O83" s="65">
        <v>15</v>
      </c>
      <c r="P83" s="18">
        <f t="shared" si="13"/>
        <v>2024.568</v>
      </c>
      <c r="Q83" s="18"/>
      <c r="R83" s="18"/>
      <c r="S83" s="18">
        <v>315</v>
      </c>
      <c r="T83" s="18"/>
      <c r="U83" s="65"/>
      <c r="V83" s="18">
        <v>0</v>
      </c>
      <c r="W83" s="65"/>
      <c r="X83" s="18"/>
      <c r="Y83" s="65"/>
      <c r="Z83" s="65"/>
      <c r="AA83" s="18"/>
      <c r="AB83" s="18">
        <v>154</v>
      </c>
      <c r="AC83" s="18">
        <v>115</v>
      </c>
      <c r="AD83" s="18">
        <v>995.9</v>
      </c>
      <c r="AE83" s="18"/>
      <c r="AF83" s="18"/>
      <c r="AG83" s="18"/>
      <c r="AH83" s="18"/>
      <c r="AI83" s="57"/>
      <c r="AJ83" s="15"/>
      <c r="AK83" s="18"/>
      <c r="AL83" s="15"/>
      <c r="AM83" s="18">
        <v>21</v>
      </c>
      <c r="AN83" s="18">
        <f t="shared" si="10"/>
        <v>176.4</v>
      </c>
      <c r="AO83" s="18">
        <f t="shared" si="11"/>
        <v>20</v>
      </c>
      <c r="AP83" s="18">
        <f t="shared" si="12"/>
        <v>168</v>
      </c>
      <c r="AQ83" s="18">
        <v>0</v>
      </c>
      <c r="AR83" s="18">
        <v>1</v>
      </c>
      <c r="AS83" s="22"/>
      <c r="AT83" s="22"/>
      <c r="AU83" s="18"/>
      <c r="AV83" s="88"/>
      <c r="AW83" s="53"/>
    </row>
    <row r="84" spans="1:49" x14ac:dyDescent="0.15">
      <c r="A84" s="69">
        <v>123</v>
      </c>
      <c r="B84" s="30">
        <v>209511500</v>
      </c>
      <c r="C84" s="30" t="s">
        <v>222</v>
      </c>
      <c r="D84" s="45" t="s">
        <v>223</v>
      </c>
      <c r="E84" s="46">
        <v>2192</v>
      </c>
      <c r="F84" s="60" t="s">
        <v>224</v>
      </c>
      <c r="G84" s="46" t="s">
        <v>55</v>
      </c>
      <c r="H84" s="4">
        <v>44977</v>
      </c>
      <c r="I84" s="26"/>
      <c r="J84" s="14">
        <v>118260.48</v>
      </c>
      <c r="K84" s="60" t="s">
        <v>224</v>
      </c>
      <c r="L84" s="18">
        <f t="shared" si="8"/>
        <v>6898.5279999999993</v>
      </c>
      <c r="M84" s="18">
        <f t="shared" si="9"/>
        <v>2956.5119999999997</v>
      </c>
      <c r="N84" s="18">
        <f t="shared" si="14"/>
        <v>9855.0399999999991</v>
      </c>
      <c r="O84" s="65">
        <v>0</v>
      </c>
      <c r="P84" s="18">
        <f t="shared" si="13"/>
        <v>0</v>
      </c>
      <c r="Q84" s="18"/>
      <c r="R84" s="18"/>
      <c r="S84" s="18">
        <v>315</v>
      </c>
      <c r="T84" s="18"/>
      <c r="U84" s="65"/>
      <c r="V84" s="18">
        <v>0</v>
      </c>
      <c r="W84" s="65"/>
      <c r="X84" s="18"/>
      <c r="Y84" s="65"/>
      <c r="Z84" s="65"/>
      <c r="AA84" s="18"/>
      <c r="AB84" s="18">
        <v>154</v>
      </c>
      <c r="AC84" s="18">
        <v>115</v>
      </c>
      <c r="AD84" s="18">
        <v>699.59</v>
      </c>
      <c r="AE84" s="18"/>
      <c r="AF84" s="18"/>
      <c r="AG84" s="18"/>
      <c r="AH84" s="18"/>
      <c r="AI84" s="57"/>
      <c r="AJ84" s="15"/>
      <c r="AK84" s="18"/>
      <c r="AL84" s="15"/>
      <c r="AM84" s="18">
        <v>21</v>
      </c>
      <c r="AN84" s="18">
        <f t="shared" si="10"/>
        <v>176.4</v>
      </c>
      <c r="AO84" s="18">
        <f t="shared" si="11"/>
        <v>21</v>
      </c>
      <c r="AP84" s="18">
        <f t="shared" si="12"/>
        <v>176.4</v>
      </c>
      <c r="AQ84" s="18">
        <v>0</v>
      </c>
      <c r="AR84" s="18">
        <v>0</v>
      </c>
      <c r="AS84" s="22"/>
      <c r="AT84" s="22"/>
      <c r="AU84" s="18"/>
      <c r="AV84" s="9"/>
      <c r="AW84" s="53"/>
    </row>
    <row r="85" spans="1:49" x14ac:dyDescent="0.15">
      <c r="A85" s="69">
        <v>124</v>
      </c>
      <c r="B85" s="30">
        <v>66449257</v>
      </c>
      <c r="C85" s="30" t="s">
        <v>225</v>
      </c>
      <c r="D85" s="45" t="s">
        <v>226</v>
      </c>
      <c r="E85" s="46">
        <v>2192</v>
      </c>
      <c r="F85" s="46" t="s">
        <v>54</v>
      </c>
      <c r="G85" s="46" t="s">
        <v>55</v>
      </c>
      <c r="H85" s="4">
        <v>44977</v>
      </c>
      <c r="I85" s="26"/>
      <c r="J85" s="14">
        <v>534774.44999999995</v>
      </c>
      <c r="K85" s="60"/>
      <c r="L85" s="18">
        <f t="shared" si="8"/>
        <v>31195.176249999997</v>
      </c>
      <c r="M85" s="18">
        <f t="shared" si="9"/>
        <v>13369.36125</v>
      </c>
      <c r="N85" s="18">
        <f t="shared" si="14"/>
        <v>44564.537499999999</v>
      </c>
      <c r="O85" s="65">
        <v>0</v>
      </c>
      <c r="P85" s="18">
        <f t="shared" si="13"/>
        <v>0</v>
      </c>
      <c r="Q85" s="18"/>
      <c r="R85" s="18"/>
      <c r="S85" s="18">
        <v>315</v>
      </c>
      <c r="T85" s="18"/>
      <c r="U85" s="65"/>
      <c r="V85" s="18">
        <v>0</v>
      </c>
      <c r="W85" s="65"/>
      <c r="X85" s="18"/>
      <c r="Y85" s="65"/>
      <c r="Z85" s="65"/>
      <c r="AA85" s="18"/>
      <c r="AB85" s="18">
        <v>154</v>
      </c>
      <c r="AC85" s="18">
        <v>115</v>
      </c>
      <c r="AD85" s="18">
        <v>996.77</v>
      </c>
      <c r="AE85" s="18"/>
      <c r="AF85" s="18"/>
      <c r="AG85" s="18"/>
      <c r="AH85" s="18"/>
      <c r="AI85" s="57"/>
      <c r="AJ85" s="15"/>
      <c r="AK85" s="18"/>
      <c r="AL85" s="15"/>
      <c r="AM85" s="18">
        <v>21</v>
      </c>
      <c r="AN85" s="18">
        <f t="shared" si="10"/>
        <v>176.4</v>
      </c>
      <c r="AO85" s="18">
        <f t="shared" si="11"/>
        <v>21</v>
      </c>
      <c r="AP85" s="18">
        <f t="shared" si="12"/>
        <v>176.4</v>
      </c>
      <c r="AQ85" s="18">
        <v>0</v>
      </c>
      <c r="AR85" s="18">
        <v>0</v>
      </c>
      <c r="AS85" s="22"/>
      <c r="AT85" s="22"/>
      <c r="AU85" s="18"/>
      <c r="AV85" s="88"/>
      <c r="AW85" s="53"/>
    </row>
    <row r="86" spans="1:49" x14ac:dyDescent="0.15">
      <c r="A86" s="69">
        <v>125</v>
      </c>
      <c r="B86" s="84">
        <v>318183969</v>
      </c>
      <c r="C86" s="84" t="s">
        <v>227</v>
      </c>
      <c r="D86" s="41" t="s">
        <v>228</v>
      </c>
      <c r="E86" s="46">
        <v>2540</v>
      </c>
      <c r="F86" s="46" t="s">
        <v>54</v>
      </c>
      <c r="G86" s="46" t="s">
        <v>55</v>
      </c>
      <c r="H86" s="80">
        <v>44977</v>
      </c>
      <c r="I86" s="26"/>
      <c r="J86" s="14">
        <v>357447</v>
      </c>
      <c r="K86" s="60"/>
      <c r="L86" s="65">
        <f t="shared" si="8"/>
        <v>20851.074999999997</v>
      </c>
      <c r="M86" s="65">
        <f t="shared" si="9"/>
        <v>8936.1749999999993</v>
      </c>
      <c r="N86" s="65">
        <f t="shared" si="14"/>
        <v>29787.249999999996</v>
      </c>
      <c r="O86" s="65">
        <v>15</v>
      </c>
      <c r="P86" s="18">
        <f t="shared" si="13"/>
        <v>4468.0874999999996</v>
      </c>
      <c r="Q86" s="18"/>
      <c r="R86" s="18"/>
      <c r="S86" s="18">
        <v>315</v>
      </c>
      <c r="T86" s="18"/>
      <c r="U86" s="65"/>
      <c r="V86" s="18">
        <v>0</v>
      </c>
      <c r="W86" s="65"/>
      <c r="X86" s="18"/>
      <c r="Y86" s="65"/>
      <c r="Z86" s="65"/>
      <c r="AA86" s="18"/>
      <c r="AB86" s="18">
        <v>154</v>
      </c>
      <c r="AC86" s="65">
        <v>115</v>
      </c>
      <c r="AD86" s="18">
        <v>807.37</v>
      </c>
      <c r="AE86" s="18"/>
      <c r="AF86" s="18"/>
      <c r="AG86" s="18"/>
      <c r="AH86" s="65"/>
      <c r="AI86" s="37"/>
      <c r="AJ86" s="15"/>
      <c r="AK86" s="18"/>
      <c r="AL86" s="15"/>
      <c r="AM86" s="18">
        <v>21</v>
      </c>
      <c r="AN86" s="65">
        <f t="shared" si="10"/>
        <v>176.4</v>
      </c>
      <c r="AO86" s="65">
        <f t="shared" si="11"/>
        <v>17</v>
      </c>
      <c r="AP86" s="65">
        <f t="shared" si="12"/>
        <v>142.80000000000001</v>
      </c>
      <c r="AQ86" s="18">
        <v>4</v>
      </c>
      <c r="AR86" s="18">
        <v>0</v>
      </c>
      <c r="AS86" s="22"/>
      <c r="AT86" s="22"/>
      <c r="AU86" s="18"/>
      <c r="AV86" s="88"/>
      <c r="AW86" s="53"/>
    </row>
    <row r="87" spans="1:49" x14ac:dyDescent="0.15">
      <c r="A87" s="69">
        <v>128</v>
      </c>
      <c r="B87" s="76">
        <v>303998116</v>
      </c>
      <c r="C87" s="84" t="s">
        <v>229</v>
      </c>
      <c r="D87" s="41" t="s">
        <v>230</v>
      </c>
      <c r="E87" s="46">
        <v>2160</v>
      </c>
      <c r="F87" s="46" t="s">
        <v>54</v>
      </c>
      <c r="G87" s="46" t="s">
        <v>55</v>
      </c>
      <c r="H87" s="80">
        <v>45505</v>
      </c>
      <c r="I87" s="33"/>
      <c r="J87" s="14">
        <v>702000</v>
      </c>
      <c r="K87" s="60"/>
      <c r="L87" s="18">
        <f t="shared" si="8"/>
        <v>40950</v>
      </c>
      <c r="M87" s="18">
        <f t="shared" si="9"/>
        <v>17550</v>
      </c>
      <c r="N87" s="18">
        <f t="shared" si="14"/>
        <v>58500</v>
      </c>
      <c r="O87" s="18">
        <v>10</v>
      </c>
      <c r="P87" s="18">
        <f t="shared" si="13"/>
        <v>5850</v>
      </c>
      <c r="Q87" s="18"/>
      <c r="R87" s="18"/>
      <c r="S87" s="18">
        <v>315</v>
      </c>
      <c r="T87" s="18"/>
      <c r="U87" s="18"/>
      <c r="V87" s="18">
        <v>0</v>
      </c>
      <c r="W87" s="18"/>
      <c r="X87" s="18"/>
      <c r="Y87" s="18"/>
      <c r="Z87" s="18"/>
      <c r="AA87" s="18"/>
      <c r="AB87" s="18">
        <v>154</v>
      </c>
      <c r="AC87" s="18">
        <v>115</v>
      </c>
      <c r="AD87" s="18">
        <v>999.49</v>
      </c>
      <c r="AE87" s="18"/>
      <c r="AF87" s="18"/>
      <c r="AG87" s="18"/>
      <c r="AH87" s="18"/>
      <c r="AI87" s="57"/>
      <c r="AJ87" s="15"/>
      <c r="AK87" s="18"/>
      <c r="AL87" s="15"/>
      <c r="AM87" s="18">
        <v>21</v>
      </c>
      <c r="AN87" s="18">
        <f t="shared" si="10"/>
        <v>176.4</v>
      </c>
      <c r="AO87" s="18">
        <f t="shared" si="11"/>
        <v>21</v>
      </c>
      <c r="AP87" s="18">
        <f t="shared" si="12"/>
        <v>176.4</v>
      </c>
      <c r="AQ87" s="18">
        <v>0</v>
      </c>
      <c r="AR87" s="18">
        <v>0</v>
      </c>
      <c r="AS87" s="10"/>
      <c r="AT87" s="10"/>
      <c r="AU87" s="18"/>
      <c r="AV87" s="88"/>
      <c r="AW87" s="53"/>
    </row>
    <row r="88" spans="1:49" x14ac:dyDescent="0.15">
      <c r="A88" s="72">
        <v>129</v>
      </c>
      <c r="B88" s="6">
        <v>203011200</v>
      </c>
      <c r="C88" s="30" t="s">
        <v>231</v>
      </c>
      <c r="D88" s="45" t="s">
        <v>232</v>
      </c>
      <c r="E88" s="46">
        <v>1150</v>
      </c>
      <c r="F88" s="46" t="s">
        <v>54</v>
      </c>
      <c r="G88" s="46" t="s">
        <v>55</v>
      </c>
      <c r="H88" s="4">
        <v>45557</v>
      </c>
      <c r="I88" s="29"/>
      <c r="J88" s="68">
        <v>333720</v>
      </c>
      <c r="K88" s="60"/>
      <c r="L88" s="18">
        <f t="shared" si="8"/>
        <v>19467</v>
      </c>
      <c r="M88" s="18">
        <f t="shared" si="9"/>
        <v>8343</v>
      </c>
      <c r="N88" s="18">
        <f t="shared" ref="N88" si="15">SUM(L88:M88)</f>
        <v>27810</v>
      </c>
      <c r="O88" s="65">
        <v>0</v>
      </c>
      <c r="P88" s="18">
        <f t="shared" si="13"/>
        <v>0</v>
      </c>
      <c r="Q88" s="18"/>
      <c r="R88" s="18"/>
      <c r="S88" s="18">
        <v>315</v>
      </c>
      <c r="T88" s="18"/>
      <c r="U88" s="18"/>
      <c r="V88" s="18">
        <v>0</v>
      </c>
      <c r="W88" s="18"/>
      <c r="X88" s="18"/>
      <c r="Y88" s="18"/>
      <c r="Z88" s="18"/>
      <c r="AA88" s="18"/>
      <c r="AB88" s="18">
        <v>154</v>
      </c>
      <c r="AC88" s="18">
        <v>115</v>
      </c>
      <c r="AD88" s="18">
        <v>999.34</v>
      </c>
      <c r="AE88" s="18"/>
      <c r="AF88" s="18"/>
      <c r="AG88" s="18"/>
      <c r="AH88" s="18"/>
      <c r="AI88" s="57"/>
      <c r="AJ88" s="15"/>
      <c r="AK88" s="18"/>
      <c r="AL88" s="15"/>
      <c r="AM88" s="18">
        <v>21</v>
      </c>
      <c r="AN88" s="18">
        <f t="shared" si="10"/>
        <v>176.4</v>
      </c>
      <c r="AO88" s="18">
        <f t="shared" si="11"/>
        <v>19</v>
      </c>
      <c r="AP88" s="18">
        <f t="shared" si="12"/>
        <v>159.6</v>
      </c>
      <c r="AQ88" s="18">
        <v>2</v>
      </c>
      <c r="AR88" s="18">
        <v>0</v>
      </c>
      <c r="AS88" s="10"/>
      <c r="AT88" s="10"/>
      <c r="AU88" s="18"/>
      <c r="AV88" s="10"/>
      <c r="AW88" s="53"/>
    </row>
    <row r="89" spans="1:49" x14ac:dyDescent="0.15">
      <c r="A89" s="72">
        <v>28</v>
      </c>
      <c r="B89" s="10">
        <v>318792538</v>
      </c>
      <c r="C89" s="30" t="s">
        <v>233</v>
      </c>
      <c r="D89" s="10" t="s">
        <v>234</v>
      </c>
      <c r="E89" s="46">
        <v>2410</v>
      </c>
      <c r="F89" s="46" t="s">
        <v>54</v>
      </c>
      <c r="G89" s="46" t="s">
        <v>55</v>
      </c>
      <c r="H89" s="4">
        <v>45606</v>
      </c>
      <c r="I89" s="46"/>
      <c r="J89" s="25">
        <v>522000</v>
      </c>
      <c r="K89" s="60"/>
      <c r="L89" s="18">
        <f t="shared" si="8"/>
        <v>30449.999999999996</v>
      </c>
      <c r="M89" s="18">
        <f t="shared" si="9"/>
        <v>13050</v>
      </c>
      <c r="N89" s="18">
        <f t="shared" ref="N89" si="16">SUM(L89:M89)</f>
        <v>43500</v>
      </c>
      <c r="O89" s="18">
        <v>15</v>
      </c>
      <c r="P89" s="18">
        <f t="shared" si="13"/>
        <v>6525</v>
      </c>
      <c r="Q89" s="18"/>
      <c r="R89" s="18"/>
      <c r="S89" s="18">
        <v>315</v>
      </c>
      <c r="T89" s="18"/>
      <c r="U89" s="18"/>
      <c r="V89" s="18">
        <v>0</v>
      </c>
      <c r="W89" s="18"/>
      <c r="X89" s="18"/>
      <c r="Y89" s="18"/>
      <c r="Z89" s="18"/>
      <c r="AA89" s="18"/>
      <c r="AB89" s="18">
        <v>154</v>
      </c>
      <c r="AC89" s="18">
        <v>115</v>
      </c>
      <c r="AD89" s="18">
        <v>1000</v>
      </c>
      <c r="AE89" s="18"/>
      <c r="AF89" s="18"/>
      <c r="AG89" s="18"/>
      <c r="AH89" s="18"/>
      <c r="AI89" s="57"/>
      <c r="AJ89" s="15"/>
      <c r="AK89" s="18"/>
      <c r="AL89" s="15"/>
      <c r="AM89" s="18">
        <v>21</v>
      </c>
      <c r="AN89" s="18">
        <f t="shared" si="10"/>
        <v>176.4</v>
      </c>
      <c r="AO89" s="18">
        <f t="shared" si="11"/>
        <v>17</v>
      </c>
      <c r="AP89" s="18">
        <f t="shared" si="12"/>
        <v>142.80000000000001</v>
      </c>
      <c r="AQ89" s="18">
        <v>4</v>
      </c>
      <c r="AR89" s="18">
        <v>0</v>
      </c>
      <c r="AS89" s="10"/>
      <c r="AT89" s="10"/>
      <c r="AU89" s="18"/>
      <c r="AV89" s="10"/>
      <c r="AW89" s="53"/>
    </row>
    <row r="90" spans="1:49" x14ac:dyDescent="0.15">
      <c r="A90" s="72">
        <v>130</v>
      </c>
      <c r="B90" s="10">
        <v>310884036</v>
      </c>
      <c r="C90" s="30" t="s">
        <v>235</v>
      </c>
      <c r="D90" s="10" t="s">
        <v>236</v>
      </c>
      <c r="E90" s="46">
        <v>2250</v>
      </c>
      <c r="F90" s="46" t="s">
        <v>54</v>
      </c>
      <c r="G90" s="46" t="s">
        <v>55</v>
      </c>
      <c r="H90" s="4">
        <v>45613</v>
      </c>
      <c r="I90" s="46"/>
      <c r="J90" s="68">
        <v>560000</v>
      </c>
      <c r="K90" s="60"/>
      <c r="L90" s="18">
        <f t="shared" si="8"/>
        <v>32666.666666666664</v>
      </c>
      <c r="M90" s="18">
        <f t="shared" si="9"/>
        <v>13999.999999999998</v>
      </c>
      <c r="N90" s="18">
        <f t="shared" ref="N90:N98" si="17">SUM(L90:M90)</f>
        <v>46666.666666666664</v>
      </c>
      <c r="O90" s="65">
        <v>0</v>
      </c>
      <c r="P90" s="18">
        <f t="shared" si="13"/>
        <v>0</v>
      </c>
      <c r="Q90" s="18"/>
      <c r="R90" s="18"/>
      <c r="S90" s="18">
        <v>315</v>
      </c>
      <c r="T90" s="18"/>
      <c r="U90" s="18"/>
      <c r="V90" s="18">
        <v>0</v>
      </c>
      <c r="W90" s="18"/>
      <c r="X90" s="18"/>
      <c r="Y90" s="18"/>
      <c r="Z90" s="18"/>
      <c r="AA90" s="18"/>
      <c r="AB90" s="18">
        <v>154</v>
      </c>
      <c r="AC90" s="18">
        <v>115</v>
      </c>
      <c r="AD90" s="18">
        <v>1000</v>
      </c>
      <c r="AE90" s="18"/>
      <c r="AF90" s="18"/>
      <c r="AG90" s="18"/>
      <c r="AH90" s="18"/>
      <c r="AI90" s="57"/>
      <c r="AJ90" s="15"/>
      <c r="AK90" s="18"/>
      <c r="AL90" s="15"/>
      <c r="AM90" s="18">
        <v>21</v>
      </c>
      <c r="AN90" s="18">
        <f t="shared" si="10"/>
        <v>176.4</v>
      </c>
      <c r="AO90" s="18">
        <f t="shared" si="11"/>
        <v>20</v>
      </c>
      <c r="AP90" s="18">
        <f t="shared" si="12"/>
        <v>168</v>
      </c>
      <c r="AQ90" s="18">
        <v>0</v>
      </c>
      <c r="AR90" s="18">
        <v>1</v>
      </c>
      <c r="AS90" s="10"/>
      <c r="AT90" s="10"/>
      <c r="AU90" s="18"/>
      <c r="AV90" s="10"/>
      <c r="AW90" s="53"/>
    </row>
    <row r="91" spans="1:49" x14ac:dyDescent="0.15">
      <c r="A91" s="87">
        <v>132</v>
      </c>
      <c r="B91" s="22">
        <v>309640001</v>
      </c>
      <c r="C91" s="84" t="s">
        <v>237</v>
      </c>
      <c r="D91" s="22" t="s">
        <v>238</v>
      </c>
      <c r="E91" s="46">
        <v>2160</v>
      </c>
      <c r="F91" s="46" t="s">
        <v>54</v>
      </c>
      <c r="G91" s="46" t="s">
        <v>55</v>
      </c>
      <c r="H91" s="80">
        <v>45641</v>
      </c>
      <c r="I91" s="44"/>
      <c r="J91" s="83">
        <v>594000</v>
      </c>
      <c r="K91" s="60"/>
      <c r="L91" s="65">
        <f t="shared" si="8"/>
        <v>34650</v>
      </c>
      <c r="M91" s="65">
        <f t="shared" si="9"/>
        <v>14850</v>
      </c>
      <c r="N91" s="65">
        <f t="shared" si="17"/>
        <v>49500</v>
      </c>
      <c r="O91" s="65">
        <v>0</v>
      </c>
      <c r="P91" s="18">
        <f t="shared" si="13"/>
        <v>0</v>
      </c>
      <c r="Q91" s="40"/>
      <c r="R91" s="18"/>
      <c r="S91" s="18">
        <v>315</v>
      </c>
      <c r="T91" s="65"/>
      <c r="U91" s="65"/>
      <c r="V91" s="18">
        <v>0</v>
      </c>
      <c r="W91" s="65"/>
      <c r="X91" s="18"/>
      <c r="Y91" s="65"/>
      <c r="Z91" s="65"/>
      <c r="AA91" s="18"/>
      <c r="AB91" s="18">
        <v>154</v>
      </c>
      <c r="AC91" s="65">
        <v>115</v>
      </c>
      <c r="AD91" s="18">
        <v>1000</v>
      </c>
      <c r="AE91" s="18"/>
      <c r="AF91" s="18"/>
      <c r="AG91" s="18"/>
      <c r="AH91" s="65"/>
      <c r="AI91" s="37"/>
      <c r="AJ91" s="15"/>
      <c r="AK91" s="18"/>
      <c r="AL91" s="15"/>
      <c r="AM91" s="18">
        <v>21</v>
      </c>
      <c r="AN91" s="65">
        <f t="shared" si="10"/>
        <v>176.4</v>
      </c>
      <c r="AO91" s="18">
        <f t="shared" si="11"/>
        <v>21</v>
      </c>
      <c r="AP91" s="65">
        <f t="shared" si="12"/>
        <v>176.4</v>
      </c>
      <c r="AQ91" s="18">
        <v>0</v>
      </c>
      <c r="AR91" s="18">
        <v>0</v>
      </c>
      <c r="AS91" s="22"/>
      <c r="AT91" s="22"/>
      <c r="AU91" s="18"/>
      <c r="AV91" s="22"/>
      <c r="AW91" s="53"/>
    </row>
    <row r="92" spans="1:49" x14ac:dyDescent="0.15">
      <c r="A92" s="72">
        <v>133</v>
      </c>
      <c r="B92" s="10">
        <v>321175960</v>
      </c>
      <c r="C92" s="84" t="s">
        <v>239</v>
      </c>
      <c r="D92" s="10" t="s">
        <v>240</v>
      </c>
      <c r="E92" s="46">
        <v>1200</v>
      </c>
      <c r="F92" s="46" t="s">
        <v>54</v>
      </c>
      <c r="G92" s="46" t="s">
        <v>55</v>
      </c>
      <c r="H92" s="4">
        <v>45669</v>
      </c>
      <c r="I92" s="46"/>
      <c r="J92" s="25">
        <v>270000</v>
      </c>
      <c r="K92" s="60"/>
      <c r="L92" s="18">
        <f t="shared" si="8"/>
        <v>15749.999999999998</v>
      </c>
      <c r="M92" s="18">
        <f t="shared" si="9"/>
        <v>6750</v>
      </c>
      <c r="N92" s="18">
        <f t="shared" si="17"/>
        <v>22500</v>
      </c>
      <c r="O92" s="65">
        <v>0</v>
      </c>
      <c r="P92" s="18">
        <f t="shared" si="13"/>
        <v>0</v>
      </c>
      <c r="Q92" s="18"/>
      <c r="R92" s="18"/>
      <c r="S92" s="18">
        <v>315</v>
      </c>
      <c r="T92" s="18"/>
      <c r="U92" s="18"/>
      <c r="V92" s="18">
        <v>0</v>
      </c>
      <c r="W92" s="18"/>
      <c r="X92" s="18"/>
      <c r="Y92" s="18"/>
      <c r="Z92" s="18"/>
      <c r="AA92" s="18"/>
      <c r="AB92" s="18">
        <v>154</v>
      </c>
      <c r="AC92" s="18">
        <v>115</v>
      </c>
      <c r="AD92" s="18">
        <v>1000</v>
      </c>
      <c r="AE92" s="18"/>
      <c r="AF92" s="18"/>
      <c r="AG92" s="18"/>
      <c r="AH92" s="18"/>
      <c r="AI92" s="57"/>
      <c r="AJ92" s="15"/>
      <c r="AK92" s="18"/>
      <c r="AL92" s="15"/>
      <c r="AM92" s="18">
        <v>21</v>
      </c>
      <c r="AN92" s="18">
        <f t="shared" si="10"/>
        <v>176.4</v>
      </c>
      <c r="AO92" s="18">
        <f t="shared" si="11"/>
        <v>19</v>
      </c>
      <c r="AP92" s="18">
        <f t="shared" si="12"/>
        <v>159.6</v>
      </c>
      <c r="AQ92" s="18">
        <v>0</v>
      </c>
      <c r="AR92" s="18">
        <v>2</v>
      </c>
      <c r="AS92" s="10"/>
      <c r="AT92" s="10"/>
      <c r="AU92" s="18"/>
      <c r="AV92" s="10"/>
      <c r="AW92" s="53"/>
    </row>
    <row r="93" spans="1:49" x14ac:dyDescent="0.15">
      <c r="A93" s="72">
        <v>134</v>
      </c>
      <c r="B93" s="10">
        <v>307101568</v>
      </c>
      <c r="C93" s="30" t="s">
        <v>241</v>
      </c>
      <c r="D93" s="10" t="s">
        <v>242</v>
      </c>
      <c r="E93" s="46">
        <v>2192</v>
      </c>
      <c r="F93" s="46" t="s">
        <v>54</v>
      </c>
      <c r="G93" s="46" t="s">
        <v>55</v>
      </c>
      <c r="H93" s="4">
        <v>45718</v>
      </c>
      <c r="I93" s="46"/>
      <c r="J93" s="79">
        <v>550800</v>
      </c>
      <c r="K93" s="60"/>
      <c r="L93" s="18">
        <f t="shared" si="8"/>
        <v>32129.999999999996</v>
      </c>
      <c r="M93" s="18">
        <f t="shared" si="9"/>
        <v>13770</v>
      </c>
      <c r="N93" s="18">
        <f t="shared" si="17"/>
        <v>45900</v>
      </c>
      <c r="O93" s="18">
        <v>15</v>
      </c>
      <c r="P93" s="18">
        <f t="shared" si="13"/>
        <v>6885</v>
      </c>
      <c r="Q93" s="18"/>
      <c r="R93" s="18"/>
      <c r="S93" s="18">
        <v>315</v>
      </c>
      <c r="T93" s="18"/>
      <c r="U93" s="18"/>
      <c r="V93" s="18">
        <v>0</v>
      </c>
      <c r="W93" s="18"/>
      <c r="X93" s="18"/>
      <c r="Y93" s="18"/>
      <c r="Z93" s="18"/>
      <c r="AA93" s="18"/>
      <c r="AB93" s="18">
        <v>154</v>
      </c>
      <c r="AC93" s="18">
        <v>115</v>
      </c>
      <c r="AD93" s="18">
        <v>879.31</v>
      </c>
      <c r="AE93" s="18"/>
      <c r="AF93" s="18"/>
      <c r="AG93" s="18"/>
      <c r="AH93" s="18"/>
      <c r="AI93" s="57"/>
      <c r="AJ93" s="15"/>
      <c r="AK93" s="18"/>
      <c r="AL93" s="15"/>
      <c r="AM93" s="18">
        <v>21</v>
      </c>
      <c r="AN93" s="18">
        <f t="shared" si="10"/>
        <v>176.4</v>
      </c>
      <c r="AO93" s="18">
        <f t="shared" si="11"/>
        <v>20</v>
      </c>
      <c r="AP93" s="18">
        <f t="shared" si="12"/>
        <v>168</v>
      </c>
      <c r="AQ93" s="18">
        <v>0</v>
      </c>
      <c r="AR93" s="18">
        <v>1</v>
      </c>
      <c r="AS93" s="10"/>
      <c r="AT93" s="10"/>
      <c r="AU93" s="18"/>
      <c r="AV93" s="10"/>
      <c r="AW93" s="53"/>
    </row>
    <row r="94" spans="1:49" x14ac:dyDescent="0.15">
      <c r="A94" s="72">
        <v>135</v>
      </c>
      <c r="B94" s="10">
        <v>32223067</v>
      </c>
      <c r="C94" s="30" t="s">
        <v>243</v>
      </c>
      <c r="D94" s="10" t="s">
        <v>244</v>
      </c>
      <c r="E94" s="46">
        <v>2160</v>
      </c>
      <c r="F94" s="46" t="s">
        <v>54</v>
      </c>
      <c r="G94" s="46" t="s">
        <v>55</v>
      </c>
      <c r="H94" s="4">
        <v>45802</v>
      </c>
      <c r="I94" s="46"/>
      <c r="J94" s="79">
        <v>675000</v>
      </c>
      <c r="K94" s="60"/>
      <c r="L94" s="18">
        <f t="shared" si="8"/>
        <v>39375</v>
      </c>
      <c r="M94" s="18">
        <f t="shared" si="9"/>
        <v>16875</v>
      </c>
      <c r="N94" s="18">
        <f t="shared" si="17"/>
        <v>56250</v>
      </c>
      <c r="O94" s="18">
        <v>15</v>
      </c>
      <c r="P94" s="18">
        <f t="shared" si="13"/>
        <v>8437.5</v>
      </c>
      <c r="Q94" s="18"/>
      <c r="R94" s="18"/>
      <c r="S94" s="18">
        <v>315</v>
      </c>
      <c r="T94" s="18"/>
      <c r="U94" s="18"/>
      <c r="V94" s="18">
        <v>0</v>
      </c>
      <c r="W94" s="18"/>
      <c r="X94" s="18"/>
      <c r="Y94" s="18"/>
      <c r="Z94" s="18"/>
      <c r="AA94" s="18"/>
      <c r="AB94" s="18">
        <v>154</v>
      </c>
      <c r="AC94" s="18">
        <v>115</v>
      </c>
      <c r="AD94" s="18">
        <v>999.9</v>
      </c>
      <c r="AE94" s="18"/>
      <c r="AF94" s="18"/>
      <c r="AG94" s="18"/>
      <c r="AH94" s="18"/>
      <c r="AI94" s="57"/>
      <c r="AJ94" s="15"/>
      <c r="AK94" s="18"/>
      <c r="AL94" s="15"/>
      <c r="AM94" s="18">
        <v>21</v>
      </c>
      <c r="AN94" s="18">
        <f t="shared" si="10"/>
        <v>176.4</v>
      </c>
      <c r="AO94" s="18">
        <f t="shared" si="11"/>
        <v>18</v>
      </c>
      <c r="AP94" s="18">
        <f t="shared" si="12"/>
        <v>151.20000000000002</v>
      </c>
      <c r="AQ94" s="18">
        <v>3</v>
      </c>
      <c r="AR94" s="18">
        <v>0</v>
      </c>
      <c r="AS94" s="10"/>
      <c r="AT94" s="10"/>
      <c r="AU94" s="18"/>
      <c r="AV94" s="10"/>
      <c r="AW94" s="53"/>
    </row>
    <row r="95" spans="1:49" x14ac:dyDescent="0.15">
      <c r="A95" s="72">
        <v>136</v>
      </c>
      <c r="B95" s="10">
        <v>204209688</v>
      </c>
      <c r="C95" s="30" t="s">
        <v>245</v>
      </c>
      <c r="D95" s="10" t="s">
        <v>246</v>
      </c>
      <c r="E95" s="46">
        <v>2160</v>
      </c>
      <c r="F95" s="46" t="s">
        <v>54</v>
      </c>
      <c r="G95" s="46" t="s">
        <v>55</v>
      </c>
      <c r="H95" s="4">
        <v>45851</v>
      </c>
      <c r="I95" s="46"/>
      <c r="J95" s="25">
        <v>384000</v>
      </c>
      <c r="K95" s="60"/>
      <c r="L95" s="18">
        <f t="shared" si="8"/>
        <v>22400</v>
      </c>
      <c r="M95" s="18">
        <f t="shared" si="9"/>
        <v>9600</v>
      </c>
      <c r="N95" s="18">
        <f t="shared" si="17"/>
        <v>32000</v>
      </c>
      <c r="O95" s="65">
        <v>0</v>
      </c>
      <c r="P95" s="18">
        <f t="shared" si="13"/>
        <v>0</v>
      </c>
      <c r="Q95" s="18"/>
      <c r="R95" s="18"/>
      <c r="S95" s="18">
        <v>315</v>
      </c>
      <c r="T95" s="18"/>
      <c r="U95" s="18"/>
      <c r="V95" s="18">
        <v>0</v>
      </c>
      <c r="W95" s="18"/>
      <c r="X95" s="18"/>
      <c r="Y95" s="18"/>
      <c r="Z95" s="18"/>
      <c r="AA95" s="18"/>
      <c r="AB95" s="18">
        <v>154</v>
      </c>
      <c r="AC95" s="18">
        <v>115</v>
      </c>
      <c r="AD95" s="18">
        <v>1000</v>
      </c>
      <c r="AE95" s="18"/>
      <c r="AF95" s="18"/>
      <c r="AG95" s="18"/>
      <c r="AH95" s="18"/>
      <c r="AI95" s="57"/>
      <c r="AJ95" s="15"/>
      <c r="AK95" s="18"/>
      <c r="AL95" s="15"/>
      <c r="AM95" s="18">
        <v>21</v>
      </c>
      <c r="AN95" s="18">
        <f t="shared" si="10"/>
        <v>176.4</v>
      </c>
      <c r="AO95" s="18">
        <f t="shared" si="11"/>
        <v>21</v>
      </c>
      <c r="AP95" s="18">
        <f t="shared" si="12"/>
        <v>176.4</v>
      </c>
      <c r="AQ95" s="18">
        <v>0</v>
      </c>
      <c r="AR95" s="18">
        <v>0</v>
      </c>
      <c r="AS95" s="10"/>
      <c r="AT95" s="10"/>
      <c r="AU95" s="18"/>
      <c r="AV95" s="10"/>
      <c r="AW95" s="53"/>
    </row>
    <row r="96" spans="1:49" x14ac:dyDescent="0.15">
      <c r="A96" s="72">
        <v>137</v>
      </c>
      <c r="B96" s="10">
        <v>200448454</v>
      </c>
      <c r="C96" s="30" t="s">
        <v>247</v>
      </c>
      <c r="D96" s="10" t="s">
        <v>248</v>
      </c>
      <c r="E96" s="46">
        <v>2192</v>
      </c>
      <c r="F96" s="46" t="s">
        <v>54</v>
      </c>
      <c r="G96" s="46" t="s">
        <v>55</v>
      </c>
      <c r="H96" s="4">
        <v>45851</v>
      </c>
      <c r="I96" s="46"/>
      <c r="J96" s="25">
        <v>504000</v>
      </c>
      <c r="K96" s="60"/>
      <c r="L96" s="18">
        <f t="shared" si="8"/>
        <v>29399.999999999996</v>
      </c>
      <c r="M96" s="18">
        <f t="shared" si="9"/>
        <v>12600</v>
      </c>
      <c r="N96" s="18">
        <f t="shared" si="17"/>
        <v>42000</v>
      </c>
      <c r="O96" s="18">
        <v>0</v>
      </c>
      <c r="P96" s="18">
        <f t="shared" si="13"/>
        <v>0</v>
      </c>
      <c r="Q96" s="18"/>
      <c r="R96" s="18"/>
      <c r="S96" s="18">
        <v>315</v>
      </c>
      <c r="T96" s="18"/>
      <c r="U96" s="18"/>
      <c r="V96" s="18">
        <v>0</v>
      </c>
      <c r="W96" s="18"/>
      <c r="X96" s="18"/>
      <c r="Y96" s="18"/>
      <c r="Z96" s="18"/>
      <c r="AA96" s="18"/>
      <c r="AB96" s="18">
        <v>154</v>
      </c>
      <c r="AC96" s="18">
        <v>115</v>
      </c>
      <c r="AD96" s="18">
        <v>1000</v>
      </c>
      <c r="AE96" s="18"/>
      <c r="AF96" s="18"/>
      <c r="AG96" s="18"/>
      <c r="AH96" s="18"/>
      <c r="AI96" s="57"/>
      <c r="AJ96" s="15"/>
      <c r="AK96" s="18"/>
      <c r="AL96" s="15"/>
      <c r="AM96" s="18">
        <v>21</v>
      </c>
      <c r="AN96" s="18">
        <f t="shared" si="10"/>
        <v>176.4</v>
      </c>
      <c r="AO96" s="18">
        <f t="shared" si="11"/>
        <v>21</v>
      </c>
      <c r="AP96" s="18">
        <f t="shared" si="12"/>
        <v>176.4</v>
      </c>
      <c r="AQ96" s="18">
        <v>0</v>
      </c>
      <c r="AR96" s="18">
        <v>0</v>
      </c>
      <c r="AS96" s="10"/>
      <c r="AT96" s="10"/>
      <c r="AU96" s="18">
        <v>53.9</v>
      </c>
      <c r="AV96" s="10"/>
      <c r="AW96" s="53"/>
    </row>
    <row r="97" spans="1:49" x14ac:dyDescent="0.15">
      <c r="A97" s="72">
        <v>138</v>
      </c>
      <c r="B97" s="10">
        <v>208543397</v>
      </c>
      <c r="C97" s="30" t="s">
        <v>249</v>
      </c>
      <c r="D97" s="10" t="s">
        <v>250</v>
      </c>
      <c r="E97" s="46">
        <v>2160</v>
      </c>
      <c r="F97" s="46" t="s">
        <v>54</v>
      </c>
      <c r="G97" s="46" t="s">
        <v>55</v>
      </c>
      <c r="H97" s="4">
        <v>45956</v>
      </c>
      <c r="I97" s="46"/>
      <c r="J97" s="25">
        <v>498000</v>
      </c>
      <c r="K97" s="60"/>
      <c r="L97" s="18">
        <f t="shared" si="8"/>
        <v>29049.999999999996</v>
      </c>
      <c r="M97" s="18">
        <f t="shared" si="9"/>
        <v>12450</v>
      </c>
      <c r="N97" s="18">
        <f t="shared" si="17"/>
        <v>41500</v>
      </c>
      <c r="O97" s="18">
        <v>0</v>
      </c>
      <c r="P97" s="18">
        <f t="shared" si="13"/>
        <v>0</v>
      </c>
      <c r="Q97" s="18"/>
      <c r="R97" s="18"/>
      <c r="S97" s="18">
        <v>315</v>
      </c>
      <c r="T97" s="18"/>
      <c r="U97" s="18"/>
      <c r="V97" s="18">
        <v>0</v>
      </c>
      <c r="W97" s="18"/>
      <c r="X97" s="18"/>
      <c r="Y97" s="18"/>
      <c r="Z97" s="18"/>
      <c r="AA97" s="18"/>
      <c r="AB97" s="18">
        <v>154</v>
      </c>
      <c r="AC97" s="18">
        <v>115</v>
      </c>
      <c r="AD97" s="18">
        <v>769</v>
      </c>
      <c r="AE97" s="18"/>
      <c r="AF97" s="18"/>
      <c r="AG97" s="18"/>
      <c r="AH97" s="18"/>
      <c r="AI97" s="57"/>
      <c r="AJ97" s="15"/>
      <c r="AK97" s="18"/>
      <c r="AL97" s="15"/>
      <c r="AM97" s="18">
        <v>21</v>
      </c>
      <c r="AN97" s="18">
        <f t="shared" si="10"/>
        <v>176.4</v>
      </c>
      <c r="AO97" s="18">
        <f t="shared" si="11"/>
        <v>21</v>
      </c>
      <c r="AP97" s="18">
        <f t="shared" si="12"/>
        <v>176.4</v>
      </c>
      <c r="AQ97" s="18">
        <v>0</v>
      </c>
      <c r="AR97" s="18">
        <v>0</v>
      </c>
      <c r="AS97" s="10"/>
      <c r="AT97" s="10"/>
      <c r="AU97" s="18"/>
      <c r="AV97" s="10"/>
      <c r="AW97" s="53"/>
    </row>
    <row r="98" spans="1:49" x14ac:dyDescent="0.15">
      <c r="A98" s="36">
        <v>139</v>
      </c>
      <c r="B98" s="75">
        <v>201383791</v>
      </c>
      <c r="C98" s="32" t="s">
        <v>251</v>
      </c>
      <c r="D98" s="75" t="s">
        <v>252</v>
      </c>
      <c r="E98" s="71">
        <v>1110</v>
      </c>
      <c r="F98" s="71" t="s">
        <v>54</v>
      </c>
      <c r="G98" s="71" t="s">
        <v>253</v>
      </c>
      <c r="H98" s="28">
        <v>45963</v>
      </c>
      <c r="I98" s="71"/>
      <c r="J98" s="67">
        <v>285000</v>
      </c>
      <c r="K98" s="60" t="s">
        <v>254</v>
      </c>
      <c r="L98" s="18">
        <f t="shared" si="8"/>
        <v>16625</v>
      </c>
      <c r="M98" s="18">
        <f t="shared" si="9"/>
        <v>7125</v>
      </c>
      <c r="N98" s="18">
        <f t="shared" si="17"/>
        <v>23750</v>
      </c>
      <c r="O98" s="18">
        <v>0</v>
      </c>
      <c r="P98" s="18">
        <f t="shared" si="13"/>
        <v>0</v>
      </c>
      <c r="Q98" s="18"/>
      <c r="R98" s="18"/>
      <c r="S98" s="18">
        <v>315</v>
      </c>
      <c r="T98" s="18"/>
      <c r="U98" s="18"/>
      <c r="V98" s="18"/>
      <c r="W98" s="18"/>
      <c r="X98" s="18"/>
      <c r="Y98" s="18"/>
      <c r="Z98" s="18"/>
      <c r="AA98" s="18"/>
      <c r="AB98" s="18">
        <v>154</v>
      </c>
      <c r="AC98" s="18">
        <v>115</v>
      </c>
      <c r="AD98" s="18">
        <v>0</v>
      </c>
      <c r="AE98" s="18"/>
      <c r="AF98" s="18"/>
      <c r="AG98" s="18"/>
      <c r="AH98" s="18"/>
      <c r="AI98" s="57"/>
      <c r="AJ98" s="15"/>
      <c r="AK98" s="18"/>
      <c r="AL98" s="15"/>
      <c r="AM98" s="18">
        <v>21</v>
      </c>
      <c r="AN98" s="18">
        <f t="shared" si="10"/>
        <v>176.4</v>
      </c>
      <c r="AO98" s="18">
        <f t="shared" si="11"/>
        <v>21</v>
      </c>
      <c r="AP98" s="18">
        <f t="shared" si="12"/>
        <v>176.4</v>
      </c>
      <c r="AQ98" s="18">
        <v>0</v>
      </c>
      <c r="AR98" s="18">
        <v>0</v>
      </c>
      <c r="AS98" s="10"/>
      <c r="AT98" s="10"/>
      <c r="AU98" s="18"/>
      <c r="AV98" s="10"/>
      <c r="AW98" s="53"/>
    </row>
    <row r="99" spans="1:49" ht="13" thickBot="1" x14ac:dyDescent="0.2">
      <c r="A99" s="24"/>
      <c r="B99" s="86"/>
      <c r="C99" s="86"/>
      <c r="D99" s="43"/>
      <c r="E99" s="82"/>
      <c r="F99" s="82"/>
      <c r="G99" s="82"/>
      <c r="H99" s="39"/>
      <c r="I99" s="78"/>
      <c r="J99" s="35"/>
      <c r="K99" s="60"/>
      <c r="L99" s="40"/>
      <c r="M99" s="40"/>
      <c r="N99" s="40"/>
      <c r="O99" s="40"/>
      <c r="P99" s="40"/>
      <c r="Q99" s="40"/>
      <c r="R99" s="18"/>
      <c r="S99" s="40"/>
      <c r="T99" s="40"/>
      <c r="U99" s="40"/>
      <c r="V99" s="18"/>
      <c r="W99" s="40"/>
      <c r="X99" s="40"/>
      <c r="Y99" s="40"/>
      <c r="Z99" s="40"/>
      <c r="AA99" s="40"/>
      <c r="AB99" s="40"/>
      <c r="AC99" s="40"/>
      <c r="AD99" s="74"/>
      <c r="AE99" s="18"/>
      <c r="AF99" s="40"/>
      <c r="AG99" s="18"/>
      <c r="AH99" s="40"/>
      <c r="AI99" s="31"/>
      <c r="AJ99" s="15"/>
      <c r="AK99" s="70"/>
      <c r="AL99" s="70"/>
      <c r="AM99" s="40"/>
      <c r="AN99" s="40"/>
      <c r="AO99" s="40"/>
      <c r="AP99" s="40"/>
      <c r="AQ99" s="18"/>
      <c r="AR99" s="40"/>
      <c r="AU99" s="18"/>
    </row>
    <row r="100" spans="1:49" ht="13" thickBot="1" x14ac:dyDescent="0.2">
      <c r="A100" s="27"/>
      <c r="B100" s="66"/>
      <c r="C100" s="66"/>
      <c r="D100" s="66"/>
      <c r="E100" s="66">
        <f>SUM(E2:E99)</f>
        <v>223875</v>
      </c>
      <c r="F100" s="66"/>
      <c r="G100" s="66"/>
      <c r="H100" s="66"/>
      <c r="I100" s="23"/>
      <c r="J100" s="97">
        <f>SUM(J2:J99)</f>
        <v>52884256.819999993</v>
      </c>
      <c r="K100" s="98"/>
      <c r="L100" s="99">
        <f t="shared" ref="L100:AV100" si="18">SUM(L2:L99)</f>
        <v>3063919.4611666664</v>
      </c>
      <c r="M100" s="99">
        <f t="shared" si="18"/>
        <v>1313108.3405000002</v>
      </c>
      <c r="N100" s="99">
        <f t="shared" si="18"/>
        <v>4377027.8016666686</v>
      </c>
      <c r="O100" s="99">
        <f t="shared" si="18"/>
        <v>1005</v>
      </c>
      <c r="P100" s="99">
        <f t="shared" si="18"/>
        <v>462665.616125</v>
      </c>
      <c r="Q100" s="99">
        <f t="shared" si="18"/>
        <v>0</v>
      </c>
      <c r="R100" s="99">
        <f t="shared" si="18"/>
        <v>0</v>
      </c>
      <c r="S100" s="99">
        <f t="shared" si="18"/>
        <v>30240</v>
      </c>
      <c r="T100" s="99">
        <f t="shared" si="18"/>
        <v>0</v>
      </c>
      <c r="U100" s="99">
        <f t="shared" si="18"/>
        <v>0</v>
      </c>
      <c r="V100" s="99">
        <f t="shared" si="18"/>
        <v>600</v>
      </c>
      <c r="W100" s="99">
        <f t="shared" si="18"/>
        <v>8254.6299999999992</v>
      </c>
      <c r="X100" s="99">
        <f t="shared" si="18"/>
        <v>0</v>
      </c>
      <c r="Y100" s="99">
        <f t="shared" si="18"/>
        <v>0</v>
      </c>
      <c r="Z100" s="99">
        <f t="shared" si="18"/>
        <v>0</v>
      </c>
      <c r="AA100" s="99">
        <f t="shared" si="18"/>
        <v>0</v>
      </c>
      <c r="AB100" s="99">
        <f t="shared" si="18"/>
        <v>14784</v>
      </c>
      <c r="AC100" s="99">
        <f t="shared" si="18"/>
        <v>11040</v>
      </c>
      <c r="AD100" s="99">
        <f t="shared" si="18"/>
        <v>91547.969999999987</v>
      </c>
      <c r="AE100" s="99">
        <f t="shared" si="18"/>
        <v>0</v>
      </c>
      <c r="AF100" s="99">
        <f t="shared" si="18"/>
        <v>168.9</v>
      </c>
      <c r="AG100" s="99">
        <f t="shared" si="18"/>
        <v>0</v>
      </c>
      <c r="AH100" s="99">
        <f t="shared" si="18"/>
        <v>0</v>
      </c>
      <c r="AI100" s="99">
        <f t="shared" si="18"/>
        <v>0</v>
      </c>
      <c r="AJ100" s="99">
        <f t="shared" si="18"/>
        <v>0</v>
      </c>
      <c r="AK100" s="99">
        <f t="shared" si="18"/>
        <v>0</v>
      </c>
      <c r="AL100" s="99">
        <f t="shared" si="18"/>
        <v>0</v>
      </c>
      <c r="AM100" s="99">
        <f>SUM(AM2:AM99)</f>
        <v>2037</v>
      </c>
      <c r="AN100" s="99">
        <f t="shared" si="18"/>
        <v>17110.799999999985</v>
      </c>
      <c r="AO100" s="99">
        <f t="shared" si="18"/>
        <v>1889</v>
      </c>
      <c r="AP100" s="99">
        <f t="shared" si="18"/>
        <v>15867.599999999986</v>
      </c>
      <c r="AQ100" s="99">
        <f t="shared" si="18"/>
        <v>106</v>
      </c>
      <c r="AR100" s="99">
        <f t="shared" si="18"/>
        <v>42</v>
      </c>
      <c r="AS100" s="99">
        <f t="shared" si="18"/>
        <v>0</v>
      </c>
      <c r="AT100" s="99">
        <f t="shared" si="18"/>
        <v>0</v>
      </c>
      <c r="AU100" s="99">
        <f t="shared" si="18"/>
        <v>29243.42</v>
      </c>
      <c r="AV100" s="99">
        <f t="shared" si="18"/>
        <v>0</v>
      </c>
    </row>
    <row r="101" spans="1:49" x14ac:dyDescent="0.15">
      <c r="J101" s="100"/>
      <c r="K101" s="60"/>
      <c r="L101" s="101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</row>
    <row r="102" spans="1:49" x14ac:dyDescent="0.15">
      <c r="O102" s="53"/>
      <c r="AP102" s="90"/>
      <c r="AU102" s="62"/>
    </row>
    <row r="103" spans="1:49" x14ac:dyDescent="0.15">
      <c r="Z103" s="53"/>
      <c r="AA103" s="53"/>
      <c r="AB103" s="53"/>
      <c r="AP103" s="90"/>
      <c r="AU103" s="62"/>
    </row>
    <row r="104" spans="1:49" x14ac:dyDescent="0.15">
      <c r="E104" s="10"/>
      <c r="AP104" s="90"/>
      <c r="AU104" s="62"/>
    </row>
    <row r="105" spans="1:49" x14ac:dyDescent="0.15">
      <c r="AP105" s="90"/>
      <c r="AU105" s="62"/>
    </row>
    <row r="106" spans="1:49" x14ac:dyDescent="0.15">
      <c r="AP106" s="90"/>
      <c r="AU106" s="62"/>
    </row>
    <row r="107" spans="1:49" x14ac:dyDescent="0.15">
      <c r="AP107" s="90"/>
      <c r="AU107" s="62"/>
    </row>
    <row r="108" spans="1:49" x14ac:dyDescent="0.15">
      <c r="B108" s="103"/>
      <c r="C108" s="104"/>
      <c r="E108" s="103"/>
      <c r="F108" s="103"/>
      <c r="G108" s="103"/>
      <c r="H108" s="103"/>
      <c r="I108" s="103"/>
      <c r="J108" s="103"/>
      <c r="K108" s="105"/>
      <c r="L108" s="103"/>
      <c r="AP108" s="90"/>
      <c r="AU108" s="62"/>
    </row>
    <row r="109" spans="1:49" x14ac:dyDescent="0.15">
      <c r="B109" s="106"/>
      <c r="C109" s="107"/>
      <c r="D109" s="107"/>
      <c r="E109" s="107"/>
      <c r="F109" s="107"/>
      <c r="G109" s="107"/>
      <c r="H109" s="108"/>
      <c r="I109" s="109"/>
      <c r="K109" s="105"/>
      <c r="L109" s="103"/>
      <c r="AP109" s="90"/>
      <c r="AU109" s="62"/>
    </row>
    <row r="110" spans="1:49" x14ac:dyDescent="0.15">
      <c r="B110" s="106"/>
      <c r="C110" s="107"/>
      <c r="D110" s="107"/>
      <c r="E110" s="107"/>
      <c r="F110" s="107"/>
      <c r="G110" s="107"/>
      <c r="H110" s="108"/>
      <c r="I110" s="109"/>
      <c r="K110" s="105"/>
      <c r="L110" s="103"/>
      <c r="AP110" s="90"/>
      <c r="AU110" s="62"/>
    </row>
    <row r="112" spans="1:49" x14ac:dyDescent="0.15">
      <c r="C112" s="104"/>
      <c r="D112" s="110"/>
      <c r="E112" s="103"/>
      <c r="F112" s="103"/>
      <c r="G112" s="103"/>
      <c r="H112" s="103"/>
      <c r="I112" s="103"/>
      <c r="J112" s="103"/>
      <c r="K112" s="105"/>
      <c r="L112" s="103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C8BB-C43B-47F9-BE03-DD942789A1DC}">
  <sheetPr filterMode="1"/>
  <dimension ref="A1:J804"/>
  <sheetViews>
    <sheetView rightToLeft="1" workbookViewId="0">
      <selection activeCell="C333" sqref="C333"/>
    </sheetView>
  </sheetViews>
  <sheetFormatPr baseColWidth="10" defaultColWidth="8.83203125" defaultRowHeight="15" x14ac:dyDescent="0.2"/>
  <cols>
    <col min="1" max="1" width="17.1640625" bestFit="1" customWidth="1"/>
    <col min="7" max="7" width="16.5" bestFit="1" customWidth="1"/>
    <col min="8" max="8" width="12.1640625" style="145" bestFit="1" customWidth="1"/>
  </cols>
  <sheetData>
    <row r="1" spans="1:10" x14ac:dyDescent="0.2">
      <c r="A1" s="91" t="s">
        <v>255</v>
      </c>
      <c r="B1" s="92" t="s">
        <v>256</v>
      </c>
      <c r="C1" s="92" t="s">
        <v>257</v>
      </c>
      <c r="D1" s="91" t="s">
        <v>258</v>
      </c>
      <c r="E1" s="92" t="s">
        <v>259</v>
      </c>
      <c r="F1" s="92" t="s">
        <v>260</v>
      </c>
      <c r="G1" s="91" t="s">
        <v>261</v>
      </c>
      <c r="H1" s="166" t="s">
        <v>262</v>
      </c>
      <c r="I1" s="93" t="s">
        <v>263</v>
      </c>
      <c r="J1" s="91" t="s">
        <v>264</v>
      </c>
    </row>
    <row r="2" spans="1:10" hidden="1" x14ac:dyDescent="0.2">
      <c r="A2" s="94" t="s">
        <v>265</v>
      </c>
      <c r="B2" s="95">
        <v>2025</v>
      </c>
      <c r="C2" s="95">
        <v>4</v>
      </c>
      <c r="D2" s="94" t="s">
        <v>266</v>
      </c>
      <c r="E2" s="95">
        <v>11</v>
      </c>
      <c r="F2" s="95">
        <v>1</v>
      </c>
      <c r="G2" s="94" t="s">
        <v>267</v>
      </c>
      <c r="H2" s="167">
        <v>36763.43</v>
      </c>
      <c r="I2" s="96">
        <v>0</v>
      </c>
      <c r="J2" s="94" t="s">
        <v>268</v>
      </c>
    </row>
    <row r="3" spans="1:10" hidden="1" x14ac:dyDescent="0.2">
      <c r="A3" s="94" t="s">
        <v>265</v>
      </c>
      <c r="B3" s="95">
        <v>2025</v>
      </c>
      <c r="C3" s="95">
        <v>4</v>
      </c>
      <c r="D3" s="94" t="s">
        <v>266</v>
      </c>
      <c r="E3" s="95">
        <v>11</v>
      </c>
      <c r="F3" s="95">
        <v>3</v>
      </c>
      <c r="G3" s="94" t="s">
        <v>269</v>
      </c>
      <c r="H3" s="167">
        <v>230</v>
      </c>
      <c r="I3" s="96">
        <v>0</v>
      </c>
      <c r="J3" s="94" t="s">
        <v>268</v>
      </c>
    </row>
    <row r="4" spans="1:10" hidden="1" x14ac:dyDescent="0.2">
      <c r="A4" s="94" t="s">
        <v>265</v>
      </c>
      <c r="B4" s="95">
        <v>2025</v>
      </c>
      <c r="C4" s="95">
        <v>4</v>
      </c>
      <c r="D4" s="94" t="s">
        <v>266</v>
      </c>
      <c r="E4" s="95">
        <v>11</v>
      </c>
      <c r="F4" s="95">
        <v>4</v>
      </c>
      <c r="G4" s="94" t="s">
        <v>270</v>
      </c>
      <c r="H4" s="167">
        <v>315</v>
      </c>
      <c r="I4" s="96">
        <v>0</v>
      </c>
      <c r="J4" s="94" t="s">
        <v>268</v>
      </c>
    </row>
    <row r="5" spans="1:10" hidden="1" x14ac:dyDescent="0.2">
      <c r="A5" s="94" t="s">
        <v>265</v>
      </c>
      <c r="B5" s="95">
        <v>2025</v>
      </c>
      <c r="C5" s="95">
        <v>4</v>
      </c>
      <c r="D5" s="94" t="s">
        <v>266</v>
      </c>
      <c r="E5" s="95">
        <v>11</v>
      </c>
      <c r="F5" s="95">
        <v>6</v>
      </c>
      <c r="G5" s="94" t="s">
        <v>271</v>
      </c>
      <c r="H5" s="167">
        <v>15755.76</v>
      </c>
      <c r="I5" s="96">
        <v>0</v>
      </c>
      <c r="J5" s="94" t="s">
        <v>268</v>
      </c>
    </row>
    <row r="6" spans="1:10" hidden="1" x14ac:dyDescent="0.2">
      <c r="A6" s="94" t="s">
        <v>265</v>
      </c>
      <c r="B6" s="95">
        <v>2025</v>
      </c>
      <c r="C6" s="95">
        <v>4</v>
      </c>
      <c r="D6" s="94" t="s">
        <v>266</v>
      </c>
      <c r="E6" s="95">
        <v>11</v>
      </c>
      <c r="F6" s="95">
        <v>24</v>
      </c>
      <c r="G6" s="94" t="s">
        <v>272</v>
      </c>
      <c r="H6" s="167">
        <v>1000</v>
      </c>
      <c r="I6" s="96">
        <v>0</v>
      </c>
      <c r="J6" s="94" t="s">
        <v>268</v>
      </c>
    </row>
    <row r="7" spans="1:10" hidden="1" x14ac:dyDescent="0.2">
      <c r="A7" s="94" t="s">
        <v>265</v>
      </c>
      <c r="B7" s="95">
        <v>2025</v>
      </c>
      <c r="C7" s="95">
        <v>4</v>
      </c>
      <c r="D7" s="94" t="s">
        <v>266</v>
      </c>
      <c r="E7" s="95">
        <v>11</v>
      </c>
      <c r="F7" s="95">
        <v>25</v>
      </c>
      <c r="G7" s="94" t="s">
        <v>273</v>
      </c>
      <c r="H7" s="167">
        <v>154</v>
      </c>
      <c r="I7" s="96">
        <v>0</v>
      </c>
      <c r="J7" s="94" t="s">
        <v>268</v>
      </c>
    </row>
    <row r="8" spans="1:10" hidden="1" x14ac:dyDescent="0.2">
      <c r="A8" s="94" t="s">
        <v>265</v>
      </c>
      <c r="B8" s="95">
        <v>2025</v>
      </c>
      <c r="C8" s="95">
        <v>4</v>
      </c>
      <c r="D8" s="94" t="s">
        <v>266</v>
      </c>
      <c r="E8" s="95">
        <v>11</v>
      </c>
      <c r="F8" s="95">
        <v>51</v>
      </c>
      <c r="G8" s="94" t="s">
        <v>274</v>
      </c>
      <c r="H8" s="167">
        <v>154</v>
      </c>
      <c r="I8" s="96">
        <v>0</v>
      </c>
      <c r="J8" s="94" t="s">
        <v>268</v>
      </c>
    </row>
    <row r="9" spans="1:10" hidden="1" x14ac:dyDescent="0.2">
      <c r="A9" s="94" t="s">
        <v>265</v>
      </c>
      <c r="B9" s="95">
        <v>2025</v>
      </c>
      <c r="C9" s="95">
        <v>4</v>
      </c>
      <c r="D9" s="94" t="s">
        <v>266</v>
      </c>
      <c r="E9" s="95">
        <v>11</v>
      </c>
      <c r="F9" s="95">
        <v>93</v>
      </c>
      <c r="G9" s="94" t="s">
        <v>275</v>
      </c>
      <c r="H9" s="167">
        <v>1616.85</v>
      </c>
      <c r="I9" s="96">
        <v>0</v>
      </c>
      <c r="J9" s="94" t="s">
        <v>268</v>
      </c>
    </row>
    <row r="10" spans="1:10" hidden="1" x14ac:dyDescent="0.2">
      <c r="A10" s="94" t="s">
        <v>265</v>
      </c>
      <c r="B10" s="95">
        <v>2025</v>
      </c>
      <c r="C10" s="95">
        <v>6</v>
      </c>
      <c r="D10" s="94" t="s">
        <v>276</v>
      </c>
      <c r="E10" s="95">
        <v>11</v>
      </c>
      <c r="F10" s="95">
        <v>1</v>
      </c>
      <c r="G10" s="94" t="s">
        <v>267</v>
      </c>
      <c r="H10" s="167">
        <v>36458.74</v>
      </c>
      <c r="I10" s="96">
        <v>0</v>
      </c>
      <c r="J10" s="94" t="s">
        <v>268</v>
      </c>
    </row>
    <row r="11" spans="1:10" hidden="1" x14ac:dyDescent="0.2">
      <c r="A11" s="94" t="s">
        <v>265</v>
      </c>
      <c r="B11" s="95">
        <v>2025</v>
      </c>
      <c r="C11" s="95">
        <v>6</v>
      </c>
      <c r="D11" s="94" t="s">
        <v>276</v>
      </c>
      <c r="E11" s="95">
        <v>11</v>
      </c>
      <c r="F11" s="95">
        <v>3</v>
      </c>
      <c r="G11" s="94" t="s">
        <v>269</v>
      </c>
      <c r="H11" s="167">
        <v>230</v>
      </c>
      <c r="I11" s="96">
        <v>0</v>
      </c>
      <c r="J11" s="94" t="s">
        <v>268</v>
      </c>
    </row>
    <row r="12" spans="1:10" hidden="1" x14ac:dyDescent="0.2">
      <c r="A12" s="94" t="s">
        <v>265</v>
      </c>
      <c r="B12" s="95">
        <v>2025</v>
      </c>
      <c r="C12" s="95">
        <v>6</v>
      </c>
      <c r="D12" s="94" t="s">
        <v>276</v>
      </c>
      <c r="E12" s="95">
        <v>11</v>
      </c>
      <c r="F12" s="95">
        <v>4</v>
      </c>
      <c r="G12" s="94" t="s">
        <v>270</v>
      </c>
      <c r="H12" s="167">
        <v>315</v>
      </c>
      <c r="I12" s="96">
        <v>0</v>
      </c>
      <c r="J12" s="94" t="s">
        <v>268</v>
      </c>
    </row>
    <row r="13" spans="1:10" hidden="1" x14ac:dyDescent="0.2">
      <c r="A13" s="94" t="s">
        <v>265</v>
      </c>
      <c r="B13" s="95">
        <v>2025</v>
      </c>
      <c r="C13" s="95">
        <v>6</v>
      </c>
      <c r="D13" s="94" t="s">
        <v>276</v>
      </c>
      <c r="E13" s="95">
        <v>11</v>
      </c>
      <c r="F13" s="95">
        <v>6</v>
      </c>
      <c r="G13" s="94" t="s">
        <v>271</v>
      </c>
      <c r="H13" s="167">
        <v>15625.18</v>
      </c>
      <c r="I13" s="96">
        <v>0</v>
      </c>
      <c r="J13" s="94" t="s">
        <v>268</v>
      </c>
    </row>
    <row r="14" spans="1:10" hidden="1" x14ac:dyDescent="0.2">
      <c r="A14" s="94" t="s">
        <v>265</v>
      </c>
      <c r="B14" s="95">
        <v>2025</v>
      </c>
      <c r="C14" s="95">
        <v>6</v>
      </c>
      <c r="D14" s="94" t="s">
        <v>276</v>
      </c>
      <c r="E14" s="95">
        <v>11</v>
      </c>
      <c r="F14" s="95">
        <v>24</v>
      </c>
      <c r="G14" s="94" t="s">
        <v>272</v>
      </c>
      <c r="H14" s="167">
        <v>1000</v>
      </c>
      <c r="I14" s="96">
        <v>0</v>
      </c>
      <c r="J14" s="94" t="s">
        <v>268</v>
      </c>
    </row>
    <row r="15" spans="1:10" hidden="1" x14ac:dyDescent="0.2">
      <c r="A15" s="94" t="s">
        <v>265</v>
      </c>
      <c r="B15" s="95">
        <v>2025</v>
      </c>
      <c r="C15" s="95">
        <v>6</v>
      </c>
      <c r="D15" s="94" t="s">
        <v>276</v>
      </c>
      <c r="E15" s="95">
        <v>11</v>
      </c>
      <c r="F15" s="95">
        <v>25</v>
      </c>
      <c r="G15" s="94" t="s">
        <v>273</v>
      </c>
      <c r="H15" s="167">
        <v>154</v>
      </c>
      <c r="I15" s="96">
        <v>0</v>
      </c>
      <c r="J15" s="94" t="s">
        <v>268</v>
      </c>
    </row>
    <row r="16" spans="1:10" hidden="1" x14ac:dyDescent="0.2">
      <c r="A16" s="94" t="s">
        <v>265</v>
      </c>
      <c r="B16" s="95">
        <v>2025</v>
      </c>
      <c r="C16" s="95">
        <v>6</v>
      </c>
      <c r="D16" s="94" t="s">
        <v>276</v>
      </c>
      <c r="E16" s="95">
        <v>11</v>
      </c>
      <c r="F16" s="95">
        <v>51</v>
      </c>
      <c r="G16" s="94" t="s">
        <v>274</v>
      </c>
      <c r="H16" s="167">
        <v>154</v>
      </c>
      <c r="I16" s="96">
        <v>0</v>
      </c>
      <c r="J16" s="94" t="s">
        <v>268</v>
      </c>
    </row>
    <row r="17" spans="1:10" hidden="1" x14ac:dyDescent="0.2">
      <c r="A17" s="94" t="s">
        <v>265</v>
      </c>
      <c r="B17" s="95">
        <v>2025</v>
      </c>
      <c r="C17" s="95">
        <v>6</v>
      </c>
      <c r="D17" s="94" t="s">
        <v>276</v>
      </c>
      <c r="E17" s="95">
        <v>11</v>
      </c>
      <c r="F17" s="95">
        <v>93</v>
      </c>
      <c r="G17" s="94" t="s">
        <v>275</v>
      </c>
      <c r="H17" s="167">
        <v>1597.79</v>
      </c>
      <c r="I17" s="96">
        <v>0</v>
      </c>
      <c r="J17" s="94" t="s">
        <v>268</v>
      </c>
    </row>
    <row r="18" spans="1:10" hidden="1" x14ac:dyDescent="0.2">
      <c r="A18" s="94" t="s">
        <v>265</v>
      </c>
      <c r="B18" s="95">
        <v>2025</v>
      </c>
      <c r="C18" s="95">
        <v>8</v>
      </c>
      <c r="D18" s="94" t="s">
        <v>277</v>
      </c>
      <c r="E18" s="95">
        <v>11</v>
      </c>
      <c r="F18" s="95">
        <v>1</v>
      </c>
      <c r="G18" s="94" t="s">
        <v>267</v>
      </c>
      <c r="H18" s="167">
        <v>35700.160000000003</v>
      </c>
      <c r="I18" s="96">
        <v>0</v>
      </c>
      <c r="J18" s="94" t="s">
        <v>268</v>
      </c>
    </row>
    <row r="19" spans="1:10" hidden="1" x14ac:dyDescent="0.2">
      <c r="A19" s="94" t="s">
        <v>265</v>
      </c>
      <c r="B19" s="95">
        <v>2025</v>
      </c>
      <c r="C19" s="95">
        <v>8</v>
      </c>
      <c r="D19" s="94" t="s">
        <v>277</v>
      </c>
      <c r="E19" s="95">
        <v>11</v>
      </c>
      <c r="F19" s="95">
        <v>3</v>
      </c>
      <c r="G19" s="94" t="s">
        <v>269</v>
      </c>
      <c r="H19" s="167">
        <v>230</v>
      </c>
      <c r="I19" s="96">
        <v>0</v>
      </c>
      <c r="J19" s="94" t="s">
        <v>268</v>
      </c>
    </row>
    <row r="20" spans="1:10" hidden="1" x14ac:dyDescent="0.2">
      <c r="A20" s="94" t="s">
        <v>265</v>
      </c>
      <c r="B20" s="95">
        <v>2025</v>
      </c>
      <c r="C20" s="95">
        <v>8</v>
      </c>
      <c r="D20" s="94" t="s">
        <v>277</v>
      </c>
      <c r="E20" s="95">
        <v>11</v>
      </c>
      <c r="F20" s="95">
        <v>4</v>
      </c>
      <c r="G20" s="94" t="s">
        <v>270</v>
      </c>
      <c r="H20" s="167">
        <v>315</v>
      </c>
      <c r="I20" s="96">
        <v>0</v>
      </c>
      <c r="J20" s="94" t="s">
        <v>268</v>
      </c>
    </row>
    <row r="21" spans="1:10" hidden="1" x14ac:dyDescent="0.2">
      <c r="A21" s="94" t="s">
        <v>265</v>
      </c>
      <c r="B21" s="95">
        <v>2025</v>
      </c>
      <c r="C21" s="95">
        <v>8</v>
      </c>
      <c r="D21" s="94" t="s">
        <v>277</v>
      </c>
      <c r="E21" s="95">
        <v>11</v>
      </c>
      <c r="F21" s="95">
        <v>6</v>
      </c>
      <c r="G21" s="94" t="s">
        <v>271</v>
      </c>
      <c r="H21" s="167">
        <v>15300.07</v>
      </c>
      <c r="I21" s="96">
        <v>0</v>
      </c>
      <c r="J21" s="94" t="s">
        <v>268</v>
      </c>
    </row>
    <row r="22" spans="1:10" hidden="1" x14ac:dyDescent="0.2">
      <c r="A22" s="94" t="s">
        <v>265</v>
      </c>
      <c r="B22" s="95">
        <v>2025</v>
      </c>
      <c r="C22" s="95">
        <v>8</v>
      </c>
      <c r="D22" s="94" t="s">
        <v>277</v>
      </c>
      <c r="E22" s="95">
        <v>11</v>
      </c>
      <c r="F22" s="95">
        <v>24</v>
      </c>
      <c r="G22" s="94" t="s">
        <v>272</v>
      </c>
      <c r="H22" s="167">
        <v>1000</v>
      </c>
      <c r="I22" s="96">
        <v>0</v>
      </c>
      <c r="J22" s="94" t="s">
        <v>268</v>
      </c>
    </row>
    <row r="23" spans="1:10" hidden="1" x14ac:dyDescent="0.2">
      <c r="A23" s="94" t="s">
        <v>265</v>
      </c>
      <c r="B23" s="95">
        <v>2025</v>
      </c>
      <c r="C23" s="95">
        <v>8</v>
      </c>
      <c r="D23" s="94" t="s">
        <v>277</v>
      </c>
      <c r="E23" s="95">
        <v>11</v>
      </c>
      <c r="F23" s="95">
        <v>25</v>
      </c>
      <c r="G23" s="94" t="s">
        <v>273</v>
      </c>
      <c r="H23" s="167">
        <v>153.99</v>
      </c>
      <c r="I23" s="96">
        <v>0</v>
      </c>
      <c r="J23" s="94" t="s">
        <v>268</v>
      </c>
    </row>
    <row r="24" spans="1:10" hidden="1" x14ac:dyDescent="0.2">
      <c r="A24" s="94" t="s">
        <v>265</v>
      </c>
      <c r="B24" s="95">
        <v>2025</v>
      </c>
      <c r="C24" s="95">
        <v>8</v>
      </c>
      <c r="D24" s="94" t="s">
        <v>277</v>
      </c>
      <c r="E24" s="95">
        <v>11</v>
      </c>
      <c r="F24" s="95">
        <v>51</v>
      </c>
      <c r="G24" s="94" t="s">
        <v>274</v>
      </c>
      <c r="H24" s="167">
        <v>154</v>
      </c>
      <c r="I24" s="96">
        <v>0</v>
      </c>
      <c r="J24" s="94" t="s">
        <v>268</v>
      </c>
    </row>
    <row r="25" spans="1:10" hidden="1" x14ac:dyDescent="0.2">
      <c r="A25" s="94" t="s">
        <v>265</v>
      </c>
      <c r="B25" s="95">
        <v>2025</v>
      </c>
      <c r="C25" s="95">
        <v>8</v>
      </c>
      <c r="D25" s="94" t="s">
        <v>277</v>
      </c>
      <c r="E25" s="95">
        <v>11</v>
      </c>
      <c r="F25" s="95">
        <v>93</v>
      </c>
      <c r="G25" s="94" t="s">
        <v>275</v>
      </c>
      <c r="H25" s="167">
        <v>1391.58</v>
      </c>
      <c r="I25" s="96">
        <v>0</v>
      </c>
      <c r="J25" s="94" t="s">
        <v>268</v>
      </c>
    </row>
    <row r="26" spans="1:10" hidden="1" x14ac:dyDescent="0.2">
      <c r="A26" s="94" t="s">
        <v>265</v>
      </c>
      <c r="B26" s="95">
        <v>2025</v>
      </c>
      <c r="C26" s="95">
        <v>11</v>
      </c>
      <c r="D26" s="94" t="s">
        <v>278</v>
      </c>
      <c r="E26" s="95">
        <v>11</v>
      </c>
      <c r="F26" s="95">
        <v>1</v>
      </c>
      <c r="G26" s="94" t="s">
        <v>267</v>
      </c>
      <c r="H26" s="167">
        <v>42886.77</v>
      </c>
      <c r="I26" s="96">
        <v>0</v>
      </c>
      <c r="J26" s="94" t="s">
        <v>268</v>
      </c>
    </row>
    <row r="27" spans="1:10" hidden="1" x14ac:dyDescent="0.2">
      <c r="A27" s="94" t="s">
        <v>265</v>
      </c>
      <c r="B27" s="95">
        <v>2025</v>
      </c>
      <c r="C27" s="95">
        <v>11</v>
      </c>
      <c r="D27" s="94" t="s">
        <v>278</v>
      </c>
      <c r="E27" s="95">
        <v>11</v>
      </c>
      <c r="F27" s="95">
        <v>3</v>
      </c>
      <c r="G27" s="94" t="s">
        <v>269</v>
      </c>
      <c r="H27" s="167">
        <v>230</v>
      </c>
      <c r="I27" s="96">
        <v>0</v>
      </c>
      <c r="J27" s="94" t="s">
        <v>268</v>
      </c>
    </row>
    <row r="28" spans="1:10" hidden="1" x14ac:dyDescent="0.2">
      <c r="A28" s="94" t="s">
        <v>265</v>
      </c>
      <c r="B28" s="95">
        <v>2025</v>
      </c>
      <c r="C28" s="95">
        <v>11</v>
      </c>
      <c r="D28" s="94" t="s">
        <v>278</v>
      </c>
      <c r="E28" s="95">
        <v>11</v>
      </c>
      <c r="F28" s="95">
        <v>4</v>
      </c>
      <c r="G28" s="94" t="s">
        <v>270</v>
      </c>
      <c r="H28" s="167">
        <v>315</v>
      </c>
      <c r="I28" s="96">
        <v>0</v>
      </c>
      <c r="J28" s="94" t="s">
        <v>268</v>
      </c>
    </row>
    <row r="29" spans="1:10" hidden="1" x14ac:dyDescent="0.2">
      <c r="A29" s="94" t="s">
        <v>265</v>
      </c>
      <c r="B29" s="95">
        <v>2025</v>
      </c>
      <c r="C29" s="95">
        <v>11</v>
      </c>
      <c r="D29" s="94" t="s">
        <v>278</v>
      </c>
      <c r="E29" s="95">
        <v>11</v>
      </c>
      <c r="F29" s="95">
        <v>6</v>
      </c>
      <c r="G29" s="94" t="s">
        <v>271</v>
      </c>
      <c r="H29" s="167">
        <v>18380.04</v>
      </c>
      <c r="I29" s="96">
        <v>0</v>
      </c>
      <c r="J29" s="94" t="s">
        <v>268</v>
      </c>
    </row>
    <row r="30" spans="1:10" hidden="1" x14ac:dyDescent="0.2">
      <c r="A30" s="94" t="s">
        <v>265</v>
      </c>
      <c r="B30" s="95">
        <v>2025</v>
      </c>
      <c r="C30" s="95">
        <v>11</v>
      </c>
      <c r="D30" s="94" t="s">
        <v>278</v>
      </c>
      <c r="E30" s="95">
        <v>11</v>
      </c>
      <c r="F30" s="95">
        <v>24</v>
      </c>
      <c r="G30" s="94" t="s">
        <v>272</v>
      </c>
      <c r="H30" s="167">
        <v>1000</v>
      </c>
      <c r="I30" s="96">
        <v>0</v>
      </c>
      <c r="J30" s="94" t="s">
        <v>268</v>
      </c>
    </row>
    <row r="31" spans="1:10" hidden="1" x14ac:dyDescent="0.2">
      <c r="A31" s="94" t="s">
        <v>265</v>
      </c>
      <c r="B31" s="95">
        <v>2025</v>
      </c>
      <c r="C31" s="95">
        <v>11</v>
      </c>
      <c r="D31" s="94" t="s">
        <v>278</v>
      </c>
      <c r="E31" s="95">
        <v>11</v>
      </c>
      <c r="F31" s="95">
        <v>25</v>
      </c>
      <c r="G31" s="94" t="s">
        <v>273</v>
      </c>
      <c r="H31" s="167">
        <v>153.99</v>
      </c>
      <c r="I31" s="96">
        <v>0</v>
      </c>
      <c r="J31" s="94" t="s">
        <v>268</v>
      </c>
    </row>
    <row r="32" spans="1:10" hidden="1" x14ac:dyDescent="0.2">
      <c r="A32" s="94" t="s">
        <v>265</v>
      </c>
      <c r="B32" s="95">
        <v>2025</v>
      </c>
      <c r="C32" s="95">
        <v>11</v>
      </c>
      <c r="D32" s="94" t="s">
        <v>278</v>
      </c>
      <c r="E32" s="95">
        <v>11</v>
      </c>
      <c r="F32" s="95">
        <v>51</v>
      </c>
      <c r="G32" s="94" t="s">
        <v>274</v>
      </c>
      <c r="H32" s="167">
        <v>154</v>
      </c>
      <c r="I32" s="96">
        <v>0</v>
      </c>
      <c r="J32" s="94" t="s">
        <v>268</v>
      </c>
    </row>
    <row r="33" spans="1:10" hidden="1" x14ac:dyDescent="0.2">
      <c r="A33" s="94" t="s">
        <v>265</v>
      </c>
      <c r="B33" s="95">
        <v>2025</v>
      </c>
      <c r="C33" s="95">
        <v>11</v>
      </c>
      <c r="D33" s="94" t="s">
        <v>278</v>
      </c>
      <c r="E33" s="95">
        <v>11</v>
      </c>
      <c r="F33" s="95">
        <v>93</v>
      </c>
      <c r="G33" s="94" t="s">
        <v>275</v>
      </c>
      <c r="H33" s="167">
        <v>2914.12</v>
      </c>
      <c r="I33" s="96">
        <v>0</v>
      </c>
      <c r="J33" s="94" t="s">
        <v>268</v>
      </c>
    </row>
    <row r="34" spans="1:10" hidden="1" x14ac:dyDescent="0.2">
      <c r="A34" s="94" t="s">
        <v>265</v>
      </c>
      <c r="B34" s="95">
        <v>2025</v>
      </c>
      <c r="C34" s="95">
        <v>12</v>
      </c>
      <c r="D34" s="94" t="s">
        <v>279</v>
      </c>
      <c r="E34" s="95">
        <v>11</v>
      </c>
      <c r="F34" s="95">
        <v>1</v>
      </c>
      <c r="G34" s="94" t="s">
        <v>267</v>
      </c>
      <c r="H34" s="167">
        <v>32405.98</v>
      </c>
      <c r="I34" s="96">
        <v>0</v>
      </c>
      <c r="J34" s="94" t="s">
        <v>268</v>
      </c>
    </row>
    <row r="35" spans="1:10" hidden="1" x14ac:dyDescent="0.2">
      <c r="A35" s="94" t="s">
        <v>265</v>
      </c>
      <c r="B35" s="95">
        <v>2025</v>
      </c>
      <c r="C35" s="95">
        <v>12</v>
      </c>
      <c r="D35" s="94" t="s">
        <v>279</v>
      </c>
      <c r="E35" s="95">
        <v>11</v>
      </c>
      <c r="F35" s="95">
        <v>3</v>
      </c>
      <c r="G35" s="94" t="s">
        <v>269</v>
      </c>
      <c r="H35" s="167">
        <v>281.12</v>
      </c>
      <c r="I35" s="96">
        <v>0</v>
      </c>
      <c r="J35" s="94" t="s">
        <v>268</v>
      </c>
    </row>
    <row r="36" spans="1:10" hidden="1" x14ac:dyDescent="0.2">
      <c r="A36" s="94" t="s">
        <v>265</v>
      </c>
      <c r="B36" s="95">
        <v>2025</v>
      </c>
      <c r="C36" s="95">
        <v>12</v>
      </c>
      <c r="D36" s="94" t="s">
        <v>279</v>
      </c>
      <c r="E36" s="95">
        <v>11</v>
      </c>
      <c r="F36" s="95">
        <v>4</v>
      </c>
      <c r="G36" s="94" t="s">
        <v>270</v>
      </c>
      <c r="H36" s="167">
        <v>315</v>
      </c>
      <c r="I36" s="96">
        <v>0</v>
      </c>
      <c r="J36" s="94" t="s">
        <v>268</v>
      </c>
    </row>
    <row r="37" spans="1:10" hidden="1" x14ac:dyDescent="0.2">
      <c r="A37" s="94" t="s">
        <v>265</v>
      </c>
      <c r="B37" s="95">
        <v>2025</v>
      </c>
      <c r="C37" s="95">
        <v>12</v>
      </c>
      <c r="D37" s="94" t="s">
        <v>279</v>
      </c>
      <c r="E37" s="95">
        <v>11</v>
      </c>
      <c r="F37" s="95">
        <v>6</v>
      </c>
      <c r="G37" s="94" t="s">
        <v>271</v>
      </c>
      <c r="H37" s="167">
        <v>13888.28</v>
      </c>
      <c r="I37" s="96">
        <v>0</v>
      </c>
      <c r="J37" s="94" t="s">
        <v>268</v>
      </c>
    </row>
    <row r="38" spans="1:10" hidden="1" x14ac:dyDescent="0.2">
      <c r="A38" s="94" t="s">
        <v>265</v>
      </c>
      <c r="B38" s="95">
        <v>2025</v>
      </c>
      <c r="C38" s="95">
        <v>12</v>
      </c>
      <c r="D38" s="94" t="s">
        <v>279</v>
      </c>
      <c r="E38" s="95">
        <v>11</v>
      </c>
      <c r="F38" s="95">
        <v>24</v>
      </c>
      <c r="G38" s="94" t="s">
        <v>272</v>
      </c>
      <c r="H38" s="167">
        <v>1000</v>
      </c>
      <c r="I38" s="96">
        <v>0</v>
      </c>
      <c r="J38" s="94" t="s">
        <v>268</v>
      </c>
    </row>
    <row r="39" spans="1:10" hidden="1" x14ac:dyDescent="0.2">
      <c r="A39" s="94" t="s">
        <v>265</v>
      </c>
      <c r="B39" s="95">
        <v>2025</v>
      </c>
      <c r="C39" s="95">
        <v>12</v>
      </c>
      <c r="D39" s="94" t="s">
        <v>279</v>
      </c>
      <c r="E39" s="95">
        <v>11</v>
      </c>
      <c r="F39" s="95">
        <v>25</v>
      </c>
      <c r="G39" s="94" t="s">
        <v>273</v>
      </c>
      <c r="H39" s="167">
        <v>223.38</v>
      </c>
      <c r="I39" s="96">
        <v>0</v>
      </c>
      <c r="J39" s="94" t="s">
        <v>268</v>
      </c>
    </row>
    <row r="40" spans="1:10" hidden="1" x14ac:dyDescent="0.2">
      <c r="A40" s="94" t="s">
        <v>265</v>
      </c>
      <c r="B40" s="95">
        <v>2025</v>
      </c>
      <c r="C40" s="95">
        <v>12</v>
      </c>
      <c r="D40" s="94" t="s">
        <v>279</v>
      </c>
      <c r="E40" s="95">
        <v>11</v>
      </c>
      <c r="F40" s="95">
        <v>51</v>
      </c>
      <c r="G40" s="94" t="s">
        <v>274</v>
      </c>
      <c r="H40" s="167">
        <v>154</v>
      </c>
      <c r="I40" s="96">
        <v>0</v>
      </c>
      <c r="J40" s="94" t="s">
        <v>268</v>
      </c>
    </row>
    <row r="41" spans="1:10" hidden="1" x14ac:dyDescent="0.2">
      <c r="A41" s="94" t="s">
        <v>265</v>
      </c>
      <c r="B41" s="95">
        <v>2025</v>
      </c>
      <c r="C41" s="95">
        <v>12</v>
      </c>
      <c r="D41" s="94" t="s">
        <v>279</v>
      </c>
      <c r="E41" s="95">
        <v>11</v>
      </c>
      <c r="F41" s="95">
        <v>93</v>
      </c>
      <c r="G41" s="94" t="s">
        <v>275</v>
      </c>
      <c r="H41" s="167">
        <v>753.69</v>
      </c>
      <c r="I41" s="96">
        <v>0</v>
      </c>
      <c r="J41" s="94" t="s">
        <v>268</v>
      </c>
    </row>
    <row r="42" spans="1:10" hidden="1" x14ac:dyDescent="0.2">
      <c r="A42" s="94" t="s">
        <v>265</v>
      </c>
      <c r="B42" s="95">
        <v>2025</v>
      </c>
      <c r="C42" s="95">
        <v>14</v>
      </c>
      <c r="D42" s="94" t="s">
        <v>280</v>
      </c>
      <c r="E42" s="95">
        <v>11</v>
      </c>
      <c r="F42" s="95">
        <v>1</v>
      </c>
      <c r="G42" s="94" t="s">
        <v>267</v>
      </c>
      <c r="H42" s="167">
        <v>31882.14</v>
      </c>
      <c r="I42" s="96">
        <v>0</v>
      </c>
      <c r="J42" s="94" t="s">
        <v>268</v>
      </c>
    </row>
    <row r="43" spans="1:10" hidden="1" x14ac:dyDescent="0.2">
      <c r="A43" s="94" t="s">
        <v>265</v>
      </c>
      <c r="B43" s="95">
        <v>2025</v>
      </c>
      <c r="C43" s="95">
        <v>14</v>
      </c>
      <c r="D43" s="94" t="s">
        <v>280</v>
      </c>
      <c r="E43" s="95">
        <v>11</v>
      </c>
      <c r="F43" s="95">
        <v>3</v>
      </c>
      <c r="G43" s="94" t="s">
        <v>269</v>
      </c>
      <c r="H43" s="167">
        <v>304.02999999999997</v>
      </c>
      <c r="I43" s="96">
        <v>0</v>
      </c>
      <c r="J43" s="94" t="s">
        <v>268</v>
      </c>
    </row>
    <row r="44" spans="1:10" hidden="1" x14ac:dyDescent="0.2">
      <c r="A44" s="94" t="s">
        <v>265</v>
      </c>
      <c r="B44" s="95">
        <v>2025</v>
      </c>
      <c r="C44" s="95">
        <v>14</v>
      </c>
      <c r="D44" s="94" t="s">
        <v>280</v>
      </c>
      <c r="E44" s="95">
        <v>11</v>
      </c>
      <c r="F44" s="95">
        <v>4</v>
      </c>
      <c r="G44" s="94" t="s">
        <v>270</v>
      </c>
      <c r="H44" s="167">
        <v>315</v>
      </c>
      <c r="I44" s="96">
        <v>0</v>
      </c>
      <c r="J44" s="94" t="s">
        <v>268</v>
      </c>
    </row>
    <row r="45" spans="1:10" hidden="1" x14ac:dyDescent="0.2">
      <c r="A45" s="94" t="s">
        <v>265</v>
      </c>
      <c r="B45" s="95">
        <v>2025</v>
      </c>
      <c r="C45" s="95">
        <v>14</v>
      </c>
      <c r="D45" s="94" t="s">
        <v>280</v>
      </c>
      <c r="E45" s="95">
        <v>11</v>
      </c>
      <c r="F45" s="95">
        <v>6</v>
      </c>
      <c r="G45" s="94" t="s">
        <v>271</v>
      </c>
      <c r="H45" s="167">
        <v>13663.78</v>
      </c>
      <c r="I45" s="96">
        <v>0</v>
      </c>
      <c r="J45" s="94" t="s">
        <v>268</v>
      </c>
    </row>
    <row r="46" spans="1:10" x14ac:dyDescent="0.2">
      <c r="A46" s="94" t="s">
        <v>265</v>
      </c>
      <c r="B46" s="95">
        <v>2025</v>
      </c>
      <c r="C46" s="95">
        <v>14</v>
      </c>
      <c r="D46" s="94" t="s">
        <v>280</v>
      </c>
      <c r="E46" s="95">
        <v>11</v>
      </c>
      <c r="F46" s="95">
        <v>15</v>
      </c>
      <c r="G46" s="94" t="s">
        <v>281</v>
      </c>
      <c r="H46" s="167">
        <v>124444.98</v>
      </c>
      <c r="I46" s="96">
        <v>0</v>
      </c>
      <c r="J46" s="94" t="s">
        <v>268</v>
      </c>
    </row>
    <row r="47" spans="1:10" hidden="1" x14ac:dyDescent="0.2">
      <c r="A47" s="94" t="s">
        <v>265</v>
      </c>
      <c r="B47" s="95">
        <v>2025</v>
      </c>
      <c r="C47" s="95">
        <v>14</v>
      </c>
      <c r="D47" s="94" t="s">
        <v>280</v>
      </c>
      <c r="E47" s="95">
        <v>11</v>
      </c>
      <c r="F47" s="95">
        <v>24</v>
      </c>
      <c r="G47" s="94" t="s">
        <v>272</v>
      </c>
      <c r="H47" s="167">
        <v>999.96</v>
      </c>
      <c r="I47" s="96">
        <v>0</v>
      </c>
      <c r="J47" s="94" t="s">
        <v>268</v>
      </c>
    </row>
    <row r="48" spans="1:10" hidden="1" x14ac:dyDescent="0.2">
      <c r="A48" s="94" t="s">
        <v>265</v>
      </c>
      <c r="B48" s="95">
        <v>2025</v>
      </c>
      <c r="C48" s="95">
        <v>14</v>
      </c>
      <c r="D48" s="94" t="s">
        <v>280</v>
      </c>
      <c r="E48" s="95">
        <v>11</v>
      </c>
      <c r="F48" s="95">
        <v>25</v>
      </c>
      <c r="G48" s="94" t="s">
        <v>273</v>
      </c>
      <c r="H48" s="167">
        <v>253.99</v>
      </c>
      <c r="I48" s="96">
        <v>0</v>
      </c>
      <c r="J48" s="94" t="s">
        <v>268</v>
      </c>
    </row>
    <row r="49" spans="1:10" hidden="1" x14ac:dyDescent="0.2">
      <c r="A49" s="94" t="s">
        <v>265</v>
      </c>
      <c r="B49" s="95">
        <v>2025</v>
      </c>
      <c r="C49" s="95">
        <v>14</v>
      </c>
      <c r="D49" s="94" t="s">
        <v>280</v>
      </c>
      <c r="E49" s="95">
        <v>11</v>
      </c>
      <c r="F49" s="95">
        <v>51</v>
      </c>
      <c r="G49" s="94" t="s">
        <v>274</v>
      </c>
      <c r="H49" s="167">
        <v>154</v>
      </c>
      <c r="I49" s="96">
        <v>0</v>
      </c>
      <c r="J49" s="94" t="s">
        <v>268</v>
      </c>
    </row>
    <row r="50" spans="1:10" x14ac:dyDescent="0.2">
      <c r="A50" s="94" t="s">
        <v>265</v>
      </c>
      <c r="B50" s="95">
        <v>2025</v>
      </c>
      <c r="C50" s="95">
        <v>14</v>
      </c>
      <c r="D50" s="94" t="s">
        <v>280</v>
      </c>
      <c r="E50" s="95">
        <v>11</v>
      </c>
      <c r="F50" s="95">
        <v>62</v>
      </c>
      <c r="G50" s="94" t="s">
        <v>282</v>
      </c>
      <c r="H50" s="167">
        <v>181859.68</v>
      </c>
      <c r="I50" s="96">
        <v>0</v>
      </c>
      <c r="J50" s="94" t="s">
        <v>268</v>
      </c>
    </row>
    <row r="51" spans="1:10" hidden="1" x14ac:dyDescent="0.2">
      <c r="A51" s="94" t="s">
        <v>265</v>
      </c>
      <c r="B51" s="95">
        <v>2025</v>
      </c>
      <c r="C51" s="95">
        <v>14</v>
      </c>
      <c r="D51" s="94" t="s">
        <v>280</v>
      </c>
      <c r="E51" s="95">
        <v>11</v>
      </c>
      <c r="F51" s="95">
        <v>93</v>
      </c>
      <c r="G51" s="94" t="s">
        <v>275</v>
      </c>
      <c r="H51" s="167">
        <v>582.71</v>
      </c>
      <c r="I51" s="96">
        <v>0</v>
      </c>
      <c r="J51" s="94" t="s">
        <v>268</v>
      </c>
    </row>
    <row r="52" spans="1:10" hidden="1" x14ac:dyDescent="0.2">
      <c r="A52" s="94" t="s">
        <v>265</v>
      </c>
      <c r="B52" s="95">
        <v>2025</v>
      </c>
      <c r="C52" s="95">
        <v>15</v>
      </c>
      <c r="D52" s="94" t="s">
        <v>283</v>
      </c>
      <c r="E52" s="95">
        <v>11</v>
      </c>
      <c r="F52" s="95">
        <v>1</v>
      </c>
      <c r="G52" s="94" t="s">
        <v>267</v>
      </c>
      <c r="H52" s="167">
        <v>30928.39</v>
      </c>
      <c r="I52" s="96">
        <v>0</v>
      </c>
      <c r="J52" s="94" t="s">
        <v>268</v>
      </c>
    </row>
    <row r="53" spans="1:10" hidden="1" x14ac:dyDescent="0.2">
      <c r="A53" s="94" t="s">
        <v>265</v>
      </c>
      <c r="B53" s="95">
        <v>2025</v>
      </c>
      <c r="C53" s="95">
        <v>15</v>
      </c>
      <c r="D53" s="94" t="s">
        <v>283</v>
      </c>
      <c r="E53" s="95">
        <v>11</v>
      </c>
      <c r="F53" s="95">
        <v>3</v>
      </c>
      <c r="G53" s="94" t="s">
        <v>269</v>
      </c>
      <c r="H53" s="167">
        <v>303.98</v>
      </c>
      <c r="I53" s="96">
        <v>0</v>
      </c>
      <c r="J53" s="94" t="s">
        <v>268</v>
      </c>
    </row>
    <row r="54" spans="1:10" hidden="1" x14ac:dyDescent="0.2">
      <c r="A54" s="94" t="s">
        <v>265</v>
      </c>
      <c r="B54" s="95">
        <v>2025</v>
      </c>
      <c r="C54" s="95">
        <v>15</v>
      </c>
      <c r="D54" s="94" t="s">
        <v>283</v>
      </c>
      <c r="E54" s="95">
        <v>11</v>
      </c>
      <c r="F54" s="95">
        <v>4</v>
      </c>
      <c r="G54" s="94" t="s">
        <v>270</v>
      </c>
      <c r="H54" s="167">
        <v>452</v>
      </c>
      <c r="I54" s="96">
        <v>20</v>
      </c>
      <c r="J54" s="94" t="s">
        <v>268</v>
      </c>
    </row>
    <row r="55" spans="1:10" hidden="1" x14ac:dyDescent="0.2">
      <c r="A55" s="94" t="s">
        <v>265</v>
      </c>
      <c r="B55" s="95">
        <v>2025</v>
      </c>
      <c r="C55" s="95">
        <v>15</v>
      </c>
      <c r="D55" s="94" t="s">
        <v>283</v>
      </c>
      <c r="E55" s="95">
        <v>11</v>
      </c>
      <c r="F55" s="95">
        <v>6</v>
      </c>
      <c r="G55" s="94" t="s">
        <v>271</v>
      </c>
      <c r="H55" s="167">
        <v>13255.03</v>
      </c>
      <c r="I55" s="96">
        <v>0</v>
      </c>
      <c r="J55" s="94" t="s">
        <v>268</v>
      </c>
    </row>
    <row r="56" spans="1:10" hidden="1" x14ac:dyDescent="0.2">
      <c r="A56" s="94" t="s">
        <v>265</v>
      </c>
      <c r="B56" s="95">
        <v>2025</v>
      </c>
      <c r="C56" s="95">
        <v>15</v>
      </c>
      <c r="D56" s="94" t="s">
        <v>283</v>
      </c>
      <c r="E56" s="95">
        <v>11</v>
      </c>
      <c r="F56" s="95">
        <v>14</v>
      </c>
      <c r="G56" s="94" t="s">
        <v>284</v>
      </c>
      <c r="H56" s="167">
        <v>4957.79</v>
      </c>
      <c r="I56" s="96">
        <v>0</v>
      </c>
      <c r="J56" s="94" t="s">
        <v>268</v>
      </c>
    </row>
    <row r="57" spans="1:10" hidden="1" x14ac:dyDescent="0.2">
      <c r="A57" s="94" t="s">
        <v>265</v>
      </c>
      <c r="B57" s="95">
        <v>2025</v>
      </c>
      <c r="C57" s="95">
        <v>15</v>
      </c>
      <c r="D57" s="94" t="s">
        <v>283</v>
      </c>
      <c r="E57" s="95">
        <v>11</v>
      </c>
      <c r="F57" s="95">
        <v>24</v>
      </c>
      <c r="G57" s="94" t="s">
        <v>272</v>
      </c>
      <c r="H57" s="167">
        <v>940.5</v>
      </c>
      <c r="I57" s="96">
        <v>0</v>
      </c>
      <c r="J57" s="94" t="s">
        <v>268</v>
      </c>
    </row>
    <row r="58" spans="1:10" hidden="1" x14ac:dyDescent="0.2">
      <c r="A58" s="94" t="s">
        <v>265</v>
      </c>
      <c r="B58" s="95">
        <v>2025</v>
      </c>
      <c r="C58" s="95">
        <v>15</v>
      </c>
      <c r="D58" s="94" t="s">
        <v>283</v>
      </c>
      <c r="E58" s="95">
        <v>11</v>
      </c>
      <c r="F58" s="95">
        <v>25</v>
      </c>
      <c r="G58" s="94" t="s">
        <v>273</v>
      </c>
      <c r="H58" s="167">
        <v>253.97</v>
      </c>
      <c r="I58" s="96">
        <v>0</v>
      </c>
      <c r="J58" s="94" t="s">
        <v>268</v>
      </c>
    </row>
    <row r="59" spans="1:10" hidden="1" x14ac:dyDescent="0.2">
      <c r="A59" s="94" t="s">
        <v>265</v>
      </c>
      <c r="B59" s="95">
        <v>2025</v>
      </c>
      <c r="C59" s="95">
        <v>15</v>
      </c>
      <c r="D59" s="94" t="s">
        <v>283</v>
      </c>
      <c r="E59" s="95">
        <v>11</v>
      </c>
      <c r="F59" s="95">
        <v>51</v>
      </c>
      <c r="G59" s="94" t="s">
        <v>274</v>
      </c>
      <c r="H59" s="167">
        <v>154</v>
      </c>
      <c r="I59" s="96">
        <v>0</v>
      </c>
      <c r="J59" s="94" t="s">
        <v>268</v>
      </c>
    </row>
    <row r="60" spans="1:10" hidden="1" x14ac:dyDescent="0.2">
      <c r="A60" s="94" t="s">
        <v>265</v>
      </c>
      <c r="B60" s="95">
        <v>2025</v>
      </c>
      <c r="C60" s="95">
        <v>15</v>
      </c>
      <c r="D60" s="94" t="s">
        <v>283</v>
      </c>
      <c r="E60" s="95">
        <v>11</v>
      </c>
      <c r="F60" s="95">
        <v>93</v>
      </c>
      <c r="G60" s="94" t="s">
        <v>275</v>
      </c>
      <c r="H60" s="167">
        <v>375.17</v>
      </c>
      <c r="I60" s="96">
        <v>0</v>
      </c>
      <c r="J60" s="94" t="s">
        <v>268</v>
      </c>
    </row>
    <row r="61" spans="1:10" hidden="1" x14ac:dyDescent="0.2">
      <c r="A61" s="94" t="s">
        <v>265</v>
      </c>
      <c r="B61" s="95">
        <v>2025</v>
      </c>
      <c r="C61" s="95">
        <v>16</v>
      </c>
      <c r="D61" s="94" t="s">
        <v>285</v>
      </c>
      <c r="E61" s="95">
        <v>11</v>
      </c>
      <c r="F61" s="95">
        <v>1</v>
      </c>
      <c r="G61" s="94" t="s">
        <v>267</v>
      </c>
      <c r="H61" s="167">
        <v>14948.58</v>
      </c>
      <c r="I61" s="96">
        <v>0</v>
      </c>
      <c r="J61" s="94" t="s">
        <v>268</v>
      </c>
    </row>
    <row r="62" spans="1:10" hidden="1" x14ac:dyDescent="0.2">
      <c r="A62" s="94" t="s">
        <v>265</v>
      </c>
      <c r="B62" s="95">
        <v>2025</v>
      </c>
      <c r="C62" s="95">
        <v>16</v>
      </c>
      <c r="D62" s="94" t="s">
        <v>285</v>
      </c>
      <c r="E62" s="95">
        <v>11</v>
      </c>
      <c r="F62" s="95">
        <v>3</v>
      </c>
      <c r="G62" s="94" t="s">
        <v>269</v>
      </c>
      <c r="H62" s="167">
        <v>218.47</v>
      </c>
      <c r="I62" s="96">
        <v>0</v>
      </c>
      <c r="J62" s="94" t="s">
        <v>268</v>
      </c>
    </row>
    <row r="63" spans="1:10" hidden="1" x14ac:dyDescent="0.2">
      <c r="A63" s="94" t="s">
        <v>265</v>
      </c>
      <c r="B63" s="95">
        <v>2025</v>
      </c>
      <c r="C63" s="95">
        <v>16</v>
      </c>
      <c r="D63" s="94" t="s">
        <v>285</v>
      </c>
      <c r="E63" s="95">
        <v>11</v>
      </c>
      <c r="F63" s="95">
        <v>4</v>
      </c>
      <c r="G63" s="94" t="s">
        <v>270</v>
      </c>
      <c r="H63" s="167">
        <v>315</v>
      </c>
      <c r="I63" s="96">
        <v>0</v>
      </c>
      <c r="J63" s="94" t="s">
        <v>268</v>
      </c>
    </row>
    <row r="64" spans="1:10" hidden="1" x14ac:dyDescent="0.2">
      <c r="A64" s="94" t="s">
        <v>265</v>
      </c>
      <c r="B64" s="95">
        <v>2025</v>
      </c>
      <c r="C64" s="95">
        <v>16</v>
      </c>
      <c r="D64" s="94" t="s">
        <v>285</v>
      </c>
      <c r="E64" s="95">
        <v>11</v>
      </c>
      <c r="F64" s="95">
        <v>6</v>
      </c>
      <c r="G64" s="94" t="s">
        <v>271</v>
      </c>
      <c r="H64" s="167">
        <v>6406.53</v>
      </c>
      <c r="I64" s="96">
        <v>0</v>
      </c>
      <c r="J64" s="94" t="s">
        <v>268</v>
      </c>
    </row>
    <row r="65" spans="1:10" hidden="1" x14ac:dyDescent="0.2">
      <c r="A65" s="94" t="s">
        <v>265</v>
      </c>
      <c r="B65" s="95">
        <v>2025</v>
      </c>
      <c r="C65" s="95">
        <v>16</v>
      </c>
      <c r="D65" s="94" t="s">
        <v>285</v>
      </c>
      <c r="E65" s="95">
        <v>11</v>
      </c>
      <c r="F65" s="95">
        <v>24</v>
      </c>
      <c r="G65" s="94" t="s">
        <v>272</v>
      </c>
      <c r="H65" s="167">
        <v>700</v>
      </c>
      <c r="I65" s="96">
        <v>0</v>
      </c>
      <c r="J65" s="94" t="s">
        <v>268</v>
      </c>
    </row>
    <row r="66" spans="1:10" hidden="1" x14ac:dyDescent="0.2">
      <c r="A66" s="94" t="s">
        <v>265</v>
      </c>
      <c r="B66" s="95">
        <v>2025</v>
      </c>
      <c r="C66" s="95">
        <v>16</v>
      </c>
      <c r="D66" s="94" t="s">
        <v>285</v>
      </c>
      <c r="E66" s="95">
        <v>11</v>
      </c>
      <c r="F66" s="95">
        <v>25</v>
      </c>
      <c r="G66" s="94" t="s">
        <v>273</v>
      </c>
      <c r="H66" s="167">
        <v>136.76</v>
      </c>
      <c r="I66" s="96">
        <v>0</v>
      </c>
      <c r="J66" s="94" t="s">
        <v>268</v>
      </c>
    </row>
    <row r="67" spans="1:10" hidden="1" x14ac:dyDescent="0.2">
      <c r="A67" s="94" t="s">
        <v>265</v>
      </c>
      <c r="B67" s="95">
        <v>2025</v>
      </c>
      <c r="C67" s="95">
        <v>16</v>
      </c>
      <c r="D67" s="94" t="s">
        <v>285</v>
      </c>
      <c r="E67" s="95">
        <v>11</v>
      </c>
      <c r="F67" s="95">
        <v>51</v>
      </c>
      <c r="G67" s="94" t="s">
        <v>274</v>
      </c>
      <c r="H67" s="167">
        <v>154</v>
      </c>
      <c r="I67" s="96">
        <v>0</v>
      </c>
      <c r="J67" s="94" t="s">
        <v>268</v>
      </c>
    </row>
    <row r="68" spans="1:10" hidden="1" x14ac:dyDescent="0.2">
      <c r="A68" s="94" t="s">
        <v>265</v>
      </c>
      <c r="B68" s="95">
        <v>2025</v>
      </c>
      <c r="C68" s="95">
        <v>17</v>
      </c>
      <c r="D68" s="94" t="s">
        <v>286</v>
      </c>
      <c r="E68" s="95">
        <v>11</v>
      </c>
      <c r="F68" s="95">
        <v>1</v>
      </c>
      <c r="G68" s="94" t="s">
        <v>267</v>
      </c>
      <c r="H68" s="167">
        <v>35605.97</v>
      </c>
      <c r="I68" s="96">
        <v>0</v>
      </c>
      <c r="J68" s="94" t="s">
        <v>268</v>
      </c>
    </row>
    <row r="69" spans="1:10" hidden="1" x14ac:dyDescent="0.2">
      <c r="A69" s="94" t="s">
        <v>265</v>
      </c>
      <c r="B69" s="95">
        <v>2025</v>
      </c>
      <c r="C69" s="95">
        <v>17</v>
      </c>
      <c r="D69" s="94" t="s">
        <v>286</v>
      </c>
      <c r="E69" s="95">
        <v>11</v>
      </c>
      <c r="F69" s="95">
        <v>3</v>
      </c>
      <c r="G69" s="94" t="s">
        <v>269</v>
      </c>
      <c r="H69" s="167">
        <v>230</v>
      </c>
      <c r="I69" s="96">
        <v>0</v>
      </c>
      <c r="J69" s="94" t="s">
        <v>268</v>
      </c>
    </row>
    <row r="70" spans="1:10" hidden="1" x14ac:dyDescent="0.2">
      <c r="A70" s="94" t="s">
        <v>265</v>
      </c>
      <c r="B70" s="95">
        <v>2025</v>
      </c>
      <c r="C70" s="95">
        <v>17</v>
      </c>
      <c r="D70" s="94" t="s">
        <v>286</v>
      </c>
      <c r="E70" s="95">
        <v>11</v>
      </c>
      <c r="F70" s="95">
        <v>4</v>
      </c>
      <c r="G70" s="94" t="s">
        <v>270</v>
      </c>
      <c r="H70" s="167">
        <v>315</v>
      </c>
      <c r="I70" s="96">
        <v>0</v>
      </c>
      <c r="J70" s="94" t="s">
        <v>268</v>
      </c>
    </row>
    <row r="71" spans="1:10" hidden="1" x14ac:dyDescent="0.2">
      <c r="A71" s="94" t="s">
        <v>265</v>
      </c>
      <c r="B71" s="95">
        <v>2025</v>
      </c>
      <c r="C71" s="95">
        <v>17</v>
      </c>
      <c r="D71" s="94" t="s">
        <v>286</v>
      </c>
      <c r="E71" s="95">
        <v>11</v>
      </c>
      <c r="F71" s="95">
        <v>6</v>
      </c>
      <c r="G71" s="94" t="s">
        <v>271</v>
      </c>
      <c r="H71" s="167">
        <v>15259.7</v>
      </c>
      <c r="I71" s="96">
        <v>0</v>
      </c>
      <c r="J71" s="94" t="s">
        <v>268</v>
      </c>
    </row>
    <row r="72" spans="1:10" hidden="1" x14ac:dyDescent="0.2">
      <c r="A72" s="94" t="s">
        <v>265</v>
      </c>
      <c r="B72" s="95">
        <v>2025</v>
      </c>
      <c r="C72" s="95">
        <v>17</v>
      </c>
      <c r="D72" s="94" t="s">
        <v>286</v>
      </c>
      <c r="E72" s="95">
        <v>11</v>
      </c>
      <c r="F72" s="95">
        <v>24</v>
      </c>
      <c r="G72" s="94" t="s">
        <v>272</v>
      </c>
      <c r="H72" s="167">
        <v>738</v>
      </c>
      <c r="I72" s="96">
        <v>0</v>
      </c>
      <c r="J72" s="94" t="s">
        <v>268</v>
      </c>
    </row>
    <row r="73" spans="1:10" hidden="1" x14ac:dyDescent="0.2">
      <c r="A73" s="94" t="s">
        <v>265</v>
      </c>
      <c r="B73" s="95">
        <v>2025</v>
      </c>
      <c r="C73" s="95">
        <v>17</v>
      </c>
      <c r="D73" s="94" t="s">
        <v>286</v>
      </c>
      <c r="E73" s="95">
        <v>11</v>
      </c>
      <c r="F73" s="95">
        <v>25</v>
      </c>
      <c r="G73" s="94" t="s">
        <v>273</v>
      </c>
      <c r="H73" s="167">
        <v>154</v>
      </c>
      <c r="I73" s="96">
        <v>0</v>
      </c>
      <c r="J73" s="94" t="s">
        <v>268</v>
      </c>
    </row>
    <row r="74" spans="1:10" hidden="1" x14ac:dyDescent="0.2">
      <c r="A74" s="94" t="s">
        <v>265</v>
      </c>
      <c r="B74" s="95">
        <v>2025</v>
      </c>
      <c r="C74" s="95">
        <v>17</v>
      </c>
      <c r="D74" s="94" t="s">
        <v>286</v>
      </c>
      <c r="E74" s="95">
        <v>11</v>
      </c>
      <c r="F74" s="95">
        <v>51</v>
      </c>
      <c r="G74" s="94" t="s">
        <v>274</v>
      </c>
      <c r="H74" s="167">
        <v>154</v>
      </c>
      <c r="I74" s="96">
        <v>0</v>
      </c>
      <c r="J74" s="94" t="s">
        <v>268</v>
      </c>
    </row>
    <row r="75" spans="1:10" hidden="1" x14ac:dyDescent="0.2">
      <c r="A75" s="94" t="s">
        <v>265</v>
      </c>
      <c r="B75" s="95">
        <v>2025</v>
      </c>
      <c r="C75" s="95">
        <v>17</v>
      </c>
      <c r="D75" s="94" t="s">
        <v>286</v>
      </c>
      <c r="E75" s="95">
        <v>11</v>
      </c>
      <c r="F75" s="95">
        <v>93</v>
      </c>
      <c r="G75" s="94" t="s">
        <v>275</v>
      </c>
      <c r="H75" s="167">
        <v>1371.63</v>
      </c>
      <c r="I75" s="96">
        <v>0</v>
      </c>
      <c r="J75" s="94" t="s">
        <v>268</v>
      </c>
    </row>
    <row r="76" spans="1:10" hidden="1" x14ac:dyDescent="0.2">
      <c r="A76" s="94" t="s">
        <v>265</v>
      </c>
      <c r="B76" s="95">
        <v>2025</v>
      </c>
      <c r="C76" s="95">
        <v>21</v>
      </c>
      <c r="D76" s="94" t="s">
        <v>287</v>
      </c>
      <c r="E76" s="95">
        <v>11</v>
      </c>
      <c r="F76" s="95">
        <v>1</v>
      </c>
      <c r="G76" s="94" t="s">
        <v>267</v>
      </c>
      <c r="H76" s="167">
        <v>28368.14</v>
      </c>
      <c r="I76" s="96">
        <v>0</v>
      </c>
      <c r="J76" s="94" t="s">
        <v>268</v>
      </c>
    </row>
    <row r="77" spans="1:10" hidden="1" x14ac:dyDescent="0.2">
      <c r="A77" s="94" t="s">
        <v>265</v>
      </c>
      <c r="B77" s="95">
        <v>2025</v>
      </c>
      <c r="C77" s="95">
        <v>21</v>
      </c>
      <c r="D77" s="94" t="s">
        <v>287</v>
      </c>
      <c r="E77" s="95">
        <v>11</v>
      </c>
      <c r="F77" s="95">
        <v>3</v>
      </c>
      <c r="G77" s="94" t="s">
        <v>269</v>
      </c>
      <c r="H77" s="167">
        <v>303.97000000000003</v>
      </c>
      <c r="I77" s="96">
        <v>0</v>
      </c>
      <c r="J77" s="94" t="s">
        <v>268</v>
      </c>
    </row>
    <row r="78" spans="1:10" hidden="1" x14ac:dyDescent="0.2">
      <c r="A78" s="94" t="s">
        <v>265</v>
      </c>
      <c r="B78" s="95">
        <v>2025</v>
      </c>
      <c r="C78" s="95">
        <v>21</v>
      </c>
      <c r="D78" s="94" t="s">
        <v>287</v>
      </c>
      <c r="E78" s="95">
        <v>11</v>
      </c>
      <c r="F78" s="95">
        <v>4</v>
      </c>
      <c r="G78" s="94" t="s">
        <v>270</v>
      </c>
      <c r="H78" s="167">
        <v>315</v>
      </c>
      <c r="I78" s="96">
        <v>0</v>
      </c>
      <c r="J78" s="94" t="s">
        <v>268</v>
      </c>
    </row>
    <row r="79" spans="1:10" hidden="1" x14ac:dyDescent="0.2">
      <c r="A79" s="94" t="s">
        <v>265</v>
      </c>
      <c r="B79" s="95">
        <v>2025</v>
      </c>
      <c r="C79" s="95">
        <v>21</v>
      </c>
      <c r="D79" s="94" t="s">
        <v>287</v>
      </c>
      <c r="E79" s="95">
        <v>11</v>
      </c>
      <c r="F79" s="95">
        <v>6</v>
      </c>
      <c r="G79" s="94" t="s">
        <v>271</v>
      </c>
      <c r="H79" s="167">
        <v>12157.78</v>
      </c>
      <c r="I79" s="96">
        <v>0</v>
      </c>
      <c r="J79" s="94" t="s">
        <v>268</v>
      </c>
    </row>
    <row r="80" spans="1:10" x14ac:dyDescent="0.2">
      <c r="A80" s="94" t="s">
        <v>265</v>
      </c>
      <c r="B80" s="95">
        <v>2025</v>
      </c>
      <c r="C80" s="95">
        <v>21</v>
      </c>
      <c r="D80" s="94" t="s">
        <v>287</v>
      </c>
      <c r="E80" s="95">
        <v>11</v>
      </c>
      <c r="F80" s="95">
        <v>15</v>
      </c>
      <c r="G80" s="94" t="s">
        <v>281</v>
      </c>
      <c r="H80" s="167">
        <v>86855.71</v>
      </c>
      <c r="I80" s="96">
        <v>0</v>
      </c>
      <c r="J80" s="94" t="s">
        <v>268</v>
      </c>
    </row>
    <row r="81" spans="1:10" hidden="1" x14ac:dyDescent="0.2">
      <c r="A81" s="94" t="s">
        <v>265</v>
      </c>
      <c r="B81" s="95">
        <v>2025</v>
      </c>
      <c r="C81" s="95">
        <v>21</v>
      </c>
      <c r="D81" s="94" t="s">
        <v>287</v>
      </c>
      <c r="E81" s="95">
        <v>11</v>
      </c>
      <c r="F81" s="95">
        <v>24</v>
      </c>
      <c r="G81" s="94" t="s">
        <v>272</v>
      </c>
      <c r="H81" s="167">
        <v>1000</v>
      </c>
      <c r="I81" s="96">
        <v>0</v>
      </c>
      <c r="J81" s="94" t="s">
        <v>268</v>
      </c>
    </row>
    <row r="82" spans="1:10" hidden="1" x14ac:dyDescent="0.2">
      <c r="A82" s="94" t="s">
        <v>265</v>
      </c>
      <c r="B82" s="95">
        <v>2025</v>
      </c>
      <c r="C82" s="95">
        <v>21</v>
      </c>
      <c r="D82" s="94" t="s">
        <v>287</v>
      </c>
      <c r="E82" s="95">
        <v>11</v>
      </c>
      <c r="F82" s="95">
        <v>25</v>
      </c>
      <c r="G82" s="94" t="s">
        <v>273</v>
      </c>
      <c r="H82" s="167">
        <v>252.03</v>
      </c>
      <c r="I82" s="96">
        <v>0</v>
      </c>
      <c r="J82" s="94" t="s">
        <v>268</v>
      </c>
    </row>
    <row r="83" spans="1:10" hidden="1" x14ac:dyDescent="0.2">
      <c r="A83" s="94" t="s">
        <v>265</v>
      </c>
      <c r="B83" s="95">
        <v>2025</v>
      </c>
      <c r="C83" s="95">
        <v>21</v>
      </c>
      <c r="D83" s="94" t="s">
        <v>287</v>
      </c>
      <c r="E83" s="95">
        <v>11</v>
      </c>
      <c r="F83" s="95">
        <v>51</v>
      </c>
      <c r="G83" s="94" t="s">
        <v>274</v>
      </c>
      <c r="H83" s="167">
        <v>154</v>
      </c>
      <c r="I83" s="96">
        <v>0</v>
      </c>
      <c r="J83" s="94" t="s">
        <v>268</v>
      </c>
    </row>
    <row r="84" spans="1:10" x14ac:dyDescent="0.2">
      <c r="A84" s="94" t="s">
        <v>265</v>
      </c>
      <c r="B84" s="95">
        <v>2025</v>
      </c>
      <c r="C84" s="95">
        <v>21</v>
      </c>
      <c r="D84" s="94" t="s">
        <v>287</v>
      </c>
      <c r="E84" s="95">
        <v>11</v>
      </c>
      <c r="F84" s="95">
        <v>62</v>
      </c>
      <c r="G84" s="94" t="s">
        <v>282</v>
      </c>
      <c r="H84" s="167">
        <v>69137.42</v>
      </c>
      <c r="I84" s="96">
        <v>0</v>
      </c>
      <c r="J84" s="94" t="s">
        <v>268</v>
      </c>
    </row>
    <row r="85" spans="1:10" hidden="1" x14ac:dyDescent="0.2">
      <c r="A85" s="94" t="s">
        <v>265</v>
      </c>
      <c r="B85" s="95">
        <v>2025</v>
      </c>
      <c r="C85" s="95">
        <v>22</v>
      </c>
      <c r="D85" s="94" t="s">
        <v>288</v>
      </c>
      <c r="E85" s="95">
        <v>11</v>
      </c>
      <c r="F85" s="95">
        <v>1</v>
      </c>
      <c r="G85" s="94" t="s">
        <v>267</v>
      </c>
      <c r="H85" s="167">
        <v>29468.080000000002</v>
      </c>
      <c r="I85" s="96">
        <v>0</v>
      </c>
      <c r="J85" s="94" t="s">
        <v>268</v>
      </c>
    </row>
    <row r="86" spans="1:10" hidden="1" x14ac:dyDescent="0.2">
      <c r="A86" s="94" t="s">
        <v>265</v>
      </c>
      <c r="B86" s="95">
        <v>2025</v>
      </c>
      <c r="C86" s="95">
        <v>22</v>
      </c>
      <c r="D86" s="94" t="s">
        <v>288</v>
      </c>
      <c r="E86" s="95">
        <v>11</v>
      </c>
      <c r="F86" s="95">
        <v>3</v>
      </c>
      <c r="G86" s="94" t="s">
        <v>269</v>
      </c>
      <c r="H86" s="167">
        <v>303.98</v>
      </c>
      <c r="I86" s="96">
        <v>0</v>
      </c>
      <c r="J86" s="94" t="s">
        <v>268</v>
      </c>
    </row>
    <row r="87" spans="1:10" hidden="1" x14ac:dyDescent="0.2">
      <c r="A87" s="94" t="s">
        <v>265</v>
      </c>
      <c r="B87" s="95">
        <v>2025</v>
      </c>
      <c r="C87" s="95">
        <v>22</v>
      </c>
      <c r="D87" s="94" t="s">
        <v>288</v>
      </c>
      <c r="E87" s="95">
        <v>11</v>
      </c>
      <c r="F87" s="95">
        <v>4</v>
      </c>
      <c r="G87" s="94" t="s">
        <v>270</v>
      </c>
      <c r="H87" s="167">
        <v>452</v>
      </c>
      <c r="I87" s="96">
        <v>20</v>
      </c>
      <c r="J87" s="94" t="s">
        <v>268</v>
      </c>
    </row>
    <row r="88" spans="1:10" hidden="1" x14ac:dyDescent="0.2">
      <c r="A88" s="94" t="s">
        <v>265</v>
      </c>
      <c r="B88" s="95">
        <v>2025</v>
      </c>
      <c r="C88" s="95">
        <v>22</v>
      </c>
      <c r="D88" s="94" t="s">
        <v>288</v>
      </c>
      <c r="E88" s="95">
        <v>11</v>
      </c>
      <c r="F88" s="95">
        <v>6</v>
      </c>
      <c r="G88" s="94" t="s">
        <v>271</v>
      </c>
      <c r="H88" s="167">
        <v>12629.18</v>
      </c>
      <c r="I88" s="96">
        <v>0</v>
      </c>
      <c r="J88" s="94" t="s">
        <v>268</v>
      </c>
    </row>
    <row r="89" spans="1:10" hidden="1" x14ac:dyDescent="0.2">
      <c r="A89" s="94" t="s">
        <v>265</v>
      </c>
      <c r="B89" s="95">
        <v>2025</v>
      </c>
      <c r="C89" s="95">
        <v>22</v>
      </c>
      <c r="D89" s="94" t="s">
        <v>288</v>
      </c>
      <c r="E89" s="95">
        <v>11</v>
      </c>
      <c r="F89" s="95">
        <v>24</v>
      </c>
      <c r="G89" s="94" t="s">
        <v>272</v>
      </c>
      <c r="H89" s="167">
        <v>1000</v>
      </c>
      <c r="I89" s="96">
        <v>0</v>
      </c>
      <c r="J89" s="94" t="s">
        <v>268</v>
      </c>
    </row>
    <row r="90" spans="1:10" hidden="1" x14ac:dyDescent="0.2">
      <c r="A90" s="94" t="s">
        <v>265</v>
      </c>
      <c r="B90" s="95">
        <v>2025</v>
      </c>
      <c r="C90" s="95">
        <v>22</v>
      </c>
      <c r="D90" s="94" t="s">
        <v>288</v>
      </c>
      <c r="E90" s="95">
        <v>11</v>
      </c>
      <c r="F90" s="95">
        <v>25</v>
      </c>
      <c r="G90" s="94" t="s">
        <v>273</v>
      </c>
      <c r="H90" s="167">
        <v>254.03</v>
      </c>
      <c r="I90" s="96">
        <v>0</v>
      </c>
      <c r="J90" s="94" t="s">
        <v>268</v>
      </c>
    </row>
    <row r="91" spans="1:10" hidden="1" x14ac:dyDescent="0.2">
      <c r="A91" s="94" t="s">
        <v>265</v>
      </c>
      <c r="B91" s="95">
        <v>2025</v>
      </c>
      <c r="C91" s="95">
        <v>22</v>
      </c>
      <c r="D91" s="94" t="s">
        <v>288</v>
      </c>
      <c r="E91" s="95">
        <v>11</v>
      </c>
      <c r="F91" s="95">
        <v>51</v>
      </c>
      <c r="G91" s="94" t="s">
        <v>274</v>
      </c>
      <c r="H91" s="167">
        <v>154</v>
      </c>
      <c r="I91" s="96">
        <v>0</v>
      </c>
      <c r="J91" s="94" t="s">
        <v>268</v>
      </c>
    </row>
    <row r="92" spans="1:10" hidden="1" x14ac:dyDescent="0.2">
      <c r="A92" s="94" t="s">
        <v>265</v>
      </c>
      <c r="B92" s="95">
        <v>2025</v>
      </c>
      <c r="C92" s="95">
        <v>22</v>
      </c>
      <c r="D92" s="94" t="s">
        <v>288</v>
      </c>
      <c r="E92" s="95">
        <v>11</v>
      </c>
      <c r="F92" s="95">
        <v>93</v>
      </c>
      <c r="G92" s="94" t="s">
        <v>275</v>
      </c>
      <c r="H92" s="167">
        <v>239.57</v>
      </c>
      <c r="I92" s="96">
        <v>0</v>
      </c>
      <c r="J92" s="94" t="s">
        <v>268</v>
      </c>
    </row>
    <row r="93" spans="1:10" hidden="1" x14ac:dyDescent="0.2">
      <c r="A93" s="94" t="s">
        <v>265</v>
      </c>
      <c r="B93" s="95">
        <v>2025</v>
      </c>
      <c r="C93" s="95">
        <v>23</v>
      </c>
      <c r="D93" s="94" t="s">
        <v>289</v>
      </c>
      <c r="E93" s="95">
        <v>11</v>
      </c>
      <c r="F93" s="95">
        <v>1</v>
      </c>
      <c r="G93" s="94" t="s">
        <v>267</v>
      </c>
      <c r="H93" s="167">
        <v>45443.55</v>
      </c>
      <c r="I93" s="96">
        <v>0</v>
      </c>
      <c r="J93" s="94" t="s">
        <v>268</v>
      </c>
    </row>
    <row r="94" spans="1:10" hidden="1" x14ac:dyDescent="0.2">
      <c r="A94" s="94" t="s">
        <v>265</v>
      </c>
      <c r="B94" s="95">
        <v>2025</v>
      </c>
      <c r="C94" s="95">
        <v>23</v>
      </c>
      <c r="D94" s="94" t="s">
        <v>289</v>
      </c>
      <c r="E94" s="95">
        <v>11</v>
      </c>
      <c r="F94" s="95">
        <v>3</v>
      </c>
      <c r="G94" s="94" t="s">
        <v>269</v>
      </c>
      <c r="H94" s="167">
        <v>230</v>
      </c>
      <c r="I94" s="96">
        <v>0</v>
      </c>
      <c r="J94" s="94" t="s">
        <v>268</v>
      </c>
    </row>
    <row r="95" spans="1:10" hidden="1" x14ac:dyDescent="0.2">
      <c r="A95" s="94" t="s">
        <v>265</v>
      </c>
      <c r="B95" s="95">
        <v>2025</v>
      </c>
      <c r="C95" s="95">
        <v>23</v>
      </c>
      <c r="D95" s="94" t="s">
        <v>289</v>
      </c>
      <c r="E95" s="95">
        <v>11</v>
      </c>
      <c r="F95" s="95">
        <v>4</v>
      </c>
      <c r="G95" s="94" t="s">
        <v>270</v>
      </c>
      <c r="H95" s="167">
        <v>315</v>
      </c>
      <c r="I95" s="96">
        <v>0</v>
      </c>
      <c r="J95" s="94" t="s">
        <v>268</v>
      </c>
    </row>
    <row r="96" spans="1:10" hidden="1" x14ac:dyDescent="0.2">
      <c r="A96" s="94" t="s">
        <v>265</v>
      </c>
      <c r="B96" s="95">
        <v>2025</v>
      </c>
      <c r="C96" s="95">
        <v>23</v>
      </c>
      <c r="D96" s="94" t="s">
        <v>289</v>
      </c>
      <c r="E96" s="95">
        <v>11</v>
      </c>
      <c r="F96" s="95">
        <v>6</v>
      </c>
      <c r="G96" s="94" t="s">
        <v>271</v>
      </c>
      <c r="H96" s="167">
        <v>19475.810000000001</v>
      </c>
      <c r="I96" s="96">
        <v>0</v>
      </c>
      <c r="J96" s="94" t="s">
        <v>268</v>
      </c>
    </row>
    <row r="97" spans="1:10" x14ac:dyDescent="0.2">
      <c r="A97" s="94" t="s">
        <v>265</v>
      </c>
      <c r="B97" s="95">
        <v>2025</v>
      </c>
      <c r="C97" s="95">
        <v>23</v>
      </c>
      <c r="D97" s="94" t="s">
        <v>289</v>
      </c>
      <c r="E97" s="95">
        <v>11</v>
      </c>
      <c r="F97" s="95">
        <v>15</v>
      </c>
      <c r="G97" s="94" t="s">
        <v>281</v>
      </c>
      <c r="H97" s="167">
        <v>190894.39</v>
      </c>
      <c r="I97" s="96">
        <v>0</v>
      </c>
      <c r="J97" s="94" t="s">
        <v>268</v>
      </c>
    </row>
    <row r="98" spans="1:10" hidden="1" x14ac:dyDescent="0.2">
      <c r="A98" s="94" t="s">
        <v>265</v>
      </c>
      <c r="B98" s="95">
        <v>2025</v>
      </c>
      <c r="C98" s="95">
        <v>23</v>
      </c>
      <c r="D98" s="94" t="s">
        <v>289</v>
      </c>
      <c r="E98" s="95">
        <v>11</v>
      </c>
      <c r="F98" s="95">
        <v>24</v>
      </c>
      <c r="G98" s="94" t="s">
        <v>272</v>
      </c>
      <c r="H98" s="167">
        <v>995.72</v>
      </c>
      <c r="I98" s="96">
        <v>0</v>
      </c>
      <c r="J98" s="94" t="s">
        <v>268</v>
      </c>
    </row>
    <row r="99" spans="1:10" hidden="1" x14ac:dyDescent="0.2">
      <c r="A99" s="94" t="s">
        <v>265</v>
      </c>
      <c r="B99" s="95">
        <v>2025</v>
      </c>
      <c r="C99" s="95">
        <v>23</v>
      </c>
      <c r="D99" s="94" t="s">
        <v>289</v>
      </c>
      <c r="E99" s="95">
        <v>11</v>
      </c>
      <c r="F99" s="95">
        <v>25</v>
      </c>
      <c r="G99" s="94" t="s">
        <v>273</v>
      </c>
      <c r="H99" s="167">
        <v>154</v>
      </c>
      <c r="I99" s="96">
        <v>0</v>
      </c>
      <c r="J99" s="94" t="s">
        <v>268</v>
      </c>
    </row>
    <row r="100" spans="1:10" hidden="1" x14ac:dyDescent="0.2">
      <c r="A100" s="94" t="s">
        <v>265</v>
      </c>
      <c r="B100" s="95">
        <v>2025</v>
      </c>
      <c r="C100" s="95">
        <v>23</v>
      </c>
      <c r="D100" s="94" t="s">
        <v>289</v>
      </c>
      <c r="E100" s="95">
        <v>11</v>
      </c>
      <c r="F100" s="95">
        <v>51</v>
      </c>
      <c r="G100" s="94" t="s">
        <v>274</v>
      </c>
      <c r="H100" s="167">
        <v>154</v>
      </c>
      <c r="I100" s="96">
        <v>0</v>
      </c>
      <c r="J100" s="94" t="s">
        <v>268</v>
      </c>
    </row>
    <row r="101" spans="1:10" x14ac:dyDescent="0.2">
      <c r="A101" s="94" t="s">
        <v>265</v>
      </c>
      <c r="B101" s="95">
        <v>2025</v>
      </c>
      <c r="C101" s="95">
        <v>23</v>
      </c>
      <c r="D101" s="94" t="s">
        <v>289</v>
      </c>
      <c r="E101" s="95">
        <v>11</v>
      </c>
      <c r="F101" s="95">
        <v>62</v>
      </c>
      <c r="G101" s="94" t="s">
        <v>282</v>
      </c>
      <c r="H101" s="167">
        <v>248889.83</v>
      </c>
      <c r="I101" s="96">
        <v>0</v>
      </c>
      <c r="J101" s="94" t="s">
        <v>268</v>
      </c>
    </row>
    <row r="102" spans="1:10" hidden="1" x14ac:dyDescent="0.2">
      <c r="A102" s="94" t="s">
        <v>265</v>
      </c>
      <c r="B102" s="95">
        <v>2025</v>
      </c>
      <c r="C102" s="95">
        <v>23</v>
      </c>
      <c r="D102" s="94" t="s">
        <v>289</v>
      </c>
      <c r="E102" s="95">
        <v>11</v>
      </c>
      <c r="F102" s="95">
        <v>93</v>
      </c>
      <c r="G102" s="94" t="s">
        <v>275</v>
      </c>
      <c r="H102" s="167">
        <v>3455.79</v>
      </c>
      <c r="I102" s="96">
        <v>0</v>
      </c>
      <c r="J102" s="94" t="s">
        <v>268</v>
      </c>
    </row>
    <row r="103" spans="1:10" hidden="1" x14ac:dyDescent="0.2">
      <c r="A103" s="94" t="s">
        <v>265</v>
      </c>
      <c r="B103" s="95">
        <v>2025</v>
      </c>
      <c r="C103" s="95">
        <v>24</v>
      </c>
      <c r="D103" s="94" t="s">
        <v>290</v>
      </c>
      <c r="E103" s="95">
        <v>11</v>
      </c>
      <c r="F103" s="95">
        <v>1</v>
      </c>
      <c r="G103" s="94" t="s">
        <v>267</v>
      </c>
      <c r="H103" s="167">
        <v>29705.08</v>
      </c>
      <c r="I103" s="96">
        <v>0</v>
      </c>
      <c r="J103" s="94" t="s">
        <v>268</v>
      </c>
    </row>
    <row r="104" spans="1:10" hidden="1" x14ac:dyDescent="0.2">
      <c r="A104" s="94" t="s">
        <v>265</v>
      </c>
      <c r="B104" s="95">
        <v>2025</v>
      </c>
      <c r="C104" s="95">
        <v>24</v>
      </c>
      <c r="D104" s="94" t="s">
        <v>290</v>
      </c>
      <c r="E104" s="95">
        <v>11</v>
      </c>
      <c r="F104" s="95">
        <v>3</v>
      </c>
      <c r="G104" s="94" t="s">
        <v>269</v>
      </c>
      <c r="H104" s="167">
        <v>304</v>
      </c>
      <c r="I104" s="96">
        <v>0</v>
      </c>
      <c r="J104" s="94" t="s">
        <v>268</v>
      </c>
    </row>
    <row r="105" spans="1:10" hidden="1" x14ac:dyDescent="0.2">
      <c r="A105" s="94" t="s">
        <v>265</v>
      </c>
      <c r="B105" s="95">
        <v>2025</v>
      </c>
      <c r="C105" s="95">
        <v>24</v>
      </c>
      <c r="D105" s="94" t="s">
        <v>290</v>
      </c>
      <c r="E105" s="95">
        <v>11</v>
      </c>
      <c r="F105" s="95">
        <v>4</v>
      </c>
      <c r="G105" s="94" t="s">
        <v>270</v>
      </c>
      <c r="H105" s="167">
        <v>315</v>
      </c>
      <c r="I105" s="96">
        <v>0</v>
      </c>
      <c r="J105" s="94" t="s">
        <v>268</v>
      </c>
    </row>
    <row r="106" spans="1:10" hidden="1" x14ac:dyDescent="0.2">
      <c r="A106" s="94" t="s">
        <v>265</v>
      </c>
      <c r="B106" s="95">
        <v>2025</v>
      </c>
      <c r="C106" s="95">
        <v>24</v>
      </c>
      <c r="D106" s="94" t="s">
        <v>290</v>
      </c>
      <c r="E106" s="95">
        <v>11</v>
      </c>
      <c r="F106" s="95">
        <v>6</v>
      </c>
      <c r="G106" s="94" t="s">
        <v>271</v>
      </c>
      <c r="H106" s="167">
        <v>12730.75</v>
      </c>
      <c r="I106" s="96">
        <v>0</v>
      </c>
      <c r="J106" s="94" t="s">
        <v>268</v>
      </c>
    </row>
    <row r="107" spans="1:10" hidden="1" x14ac:dyDescent="0.2">
      <c r="A107" s="94" t="s">
        <v>265</v>
      </c>
      <c r="B107" s="95">
        <v>2025</v>
      </c>
      <c r="C107" s="95">
        <v>24</v>
      </c>
      <c r="D107" s="94" t="s">
        <v>290</v>
      </c>
      <c r="E107" s="95">
        <v>11</v>
      </c>
      <c r="F107" s="95">
        <v>24</v>
      </c>
      <c r="G107" s="94" t="s">
        <v>272</v>
      </c>
      <c r="H107" s="167">
        <v>967.96</v>
      </c>
      <c r="I107" s="96">
        <v>0</v>
      </c>
      <c r="J107" s="94" t="s">
        <v>268</v>
      </c>
    </row>
    <row r="108" spans="1:10" hidden="1" x14ac:dyDescent="0.2">
      <c r="A108" s="94" t="s">
        <v>265</v>
      </c>
      <c r="B108" s="95">
        <v>2025</v>
      </c>
      <c r="C108" s="95">
        <v>24</v>
      </c>
      <c r="D108" s="94" t="s">
        <v>290</v>
      </c>
      <c r="E108" s="95">
        <v>11</v>
      </c>
      <c r="F108" s="95">
        <v>25</v>
      </c>
      <c r="G108" s="94" t="s">
        <v>273</v>
      </c>
      <c r="H108" s="167">
        <v>254.04</v>
      </c>
      <c r="I108" s="96">
        <v>0</v>
      </c>
      <c r="J108" s="94" t="s">
        <v>268</v>
      </c>
    </row>
    <row r="109" spans="1:10" hidden="1" x14ac:dyDescent="0.2">
      <c r="A109" s="94" t="s">
        <v>265</v>
      </c>
      <c r="B109" s="95">
        <v>2025</v>
      </c>
      <c r="C109" s="95">
        <v>24</v>
      </c>
      <c r="D109" s="94" t="s">
        <v>290</v>
      </c>
      <c r="E109" s="95">
        <v>11</v>
      </c>
      <c r="F109" s="95">
        <v>51</v>
      </c>
      <c r="G109" s="94" t="s">
        <v>274</v>
      </c>
      <c r="H109" s="167">
        <v>154</v>
      </c>
      <c r="I109" s="96">
        <v>0</v>
      </c>
      <c r="J109" s="94" t="s">
        <v>268</v>
      </c>
    </row>
    <row r="110" spans="1:10" hidden="1" x14ac:dyDescent="0.2">
      <c r="A110" s="94" t="s">
        <v>265</v>
      </c>
      <c r="B110" s="95">
        <v>2025</v>
      </c>
      <c r="C110" s="95">
        <v>24</v>
      </c>
      <c r="D110" s="94" t="s">
        <v>290</v>
      </c>
      <c r="E110" s="95">
        <v>11</v>
      </c>
      <c r="F110" s="95">
        <v>93</v>
      </c>
      <c r="G110" s="94" t="s">
        <v>275</v>
      </c>
      <c r="H110" s="167">
        <v>261.58</v>
      </c>
      <c r="I110" s="96">
        <v>0</v>
      </c>
      <c r="J110" s="94" t="s">
        <v>268</v>
      </c>
    </row>
    <row r="111" spans="1:10" hidden="1" x14ac:dyDescent="0.2">
      <c r="A111" s="94" t="s">
        <v>265</v>
      </c>
      <c r="B111" s="95">
        <v>2025</v>
      </c>
      <c r="C111" s="95">
        <v>26</v>
      </c>
      <c r="D111" s="94" t="s">
        <v>291</v>
      </c>
      <c r="E111" s="95">
        <v>11</v>
      </c>
      <c r="F111" s="95">
        <v>1</v>
      </c>
      <c r="G111" s="94" t="s">
        <v>267</v>
      </c>
      <c r="H111" s="167">
        <v>30947.58</v>
      </c>
      <c r="I111" s="96">
        <v>0</v>
      </c>
      <c r="J111" s="94" t="s">
        <v>268</v>
      </c>
    </row>
    <row r="112" spans="1:10" hidden="1" x14ac:dyDescent="0.2">
      <c r="A112" s="94" t="s">
        <v>265</v>
      </c>
      <c r="B112" s="95">
        <v>2025</v>
      </c>
      <c r="C112" s="95">
        <v>26</v>
      </c>
      <c r="D112" s="94" t="s">
        <v>291</v>
      </c>
      <c r="E112" s="95">
        <v>11</v>
      </c>
      <c r="F112" s="95">
        <v>3</v>
      </c>
      <c r="G112" s="94" t="s">
        <v>269</v>
      </c>
      <c r="H112" s="167">
        <v>304</v>
      </c>
      <c r="I112" s="96">
        <v>0</v>
      </c>
      <c r="J112" s="94" t="s">
        <v>268</v>
      </c>
    </row>
    <row r="113" spans="1:10" hidden="1" x14ac:dyDescent="0.2">
      <c r="A113" s="94" t="s">
        <v>265</v>
      </c>
      <c r="B113" s="95">
        <v>2025</v>
      </c>
      <c r="C113" s="95">
        <v>26</v>
      </c>
      <c r="D113" s="94" t="s">
        <v>291</v>
      </c>
      <c r="E113" s="95">
        <v>11</v>
      </c>
      <c r="F113" s="95">
        <v>4</v>
      </c>
      <c r="G113" s="94" t="s">
        <v>270</v>
      </c>
      <c r="H113" s="167">
        <v>315</v>
      </c>
      <c r="I113" s="96">
        <v>0</v>
      </c>
      <c r="J113" s="94" t="s">
        <v>268</v>
      </c>
    </row>
    <row r="114" spans="1:10" hidden="1" x14ac:dyDescent="0.2">
      <c r="A114" s="94" t="s">
        <v>265</v>
      </c>
      <c r="B114" s="95">
        <v>2025</v>
      </c>
      <c r="C114" s="95">
        <v>26</v>
      </c>
      <c r="D114" s="94" t="s">
        <v>291</v>
      </c>
      <c r="E114" s="95">
        <v>11</v>
      </c>
      <c r="F114" s="95">
        <v>6</v>
      </c>
      <c r="G114" s="94" t="s">
        <v>271</v>
      </c>
      <c r="H114" s="167">
        <v>13263.25</v>
      </c>
      <c r="I114" s="96">
        <v>0</v>
      </c>
      <c r="J114" s="94" t="s">
        <v>268</v>
      </c>
    </row>
    <row r="115" spans="1:10" hidden="1" x14ac:dyDescent="0.2">
      <c r="A115" s="94" t="s">
        <v>265</v>
      </c>
      <c r="B115" s="95">
        <v>2025</v>
      </c>
      <c r="C115" s="95">
        <v>26</v>
      </c>
      <c r="D115" s="94" t="s">
        <v>291</v>
      </c>
      <c r="E115" s="95">
        <v>11</v>
      </c>
      <c r="F115" s="95">
        <v>14</v>
      </c>
      <c r="G115" s="94" t="s">
        <v>284</v>
      </c>
      <c r="H115" s="167">
        <v>2308</v>
      </c>
      <c r="I115" s="96">
        <v>0</v>
      </c>
      <c r="J115" s="94" t="s">
        <v>268</v>
      </c>
    </row>
    <row r="116" spans="1:10" hidden="1" x14ac:dyDescent="0.2">
      <c r="A116" s="94" t="s">
        <v>265</v>
      </c>
      <c r="B116" s="95">
        <v>2025</v>
      </c>
      <c r="C116" s="95">
        <v>26</v>
      </c>
      <c r="D116" s="94" t="s">
        <v>291</v>
      </c>
      <c r="E116" s="95">
        <v>11</v>
      </c>
      <c r="F116" s="95">
        <v>24</v>
      </c>
      <c r="G116" s="94" t="s">
        <v>272</v>
      </c>
      <c r="H116" s="167">
        <v>1000</v>
      </c>
      <c r="I116" s="96">
        <v>0</v>
      </c>
      <c r="J116" s="94" t="s">
        <v>268</v>
      </c>
    </row>
    <row r="117" spans="1:10" hidden="1" x14ac:dyDescent="0.2">
      <c r="A117" s="94" t="s">
        <v>265</v>
      </c>
      <c r="B117" s="95">
        <v>2025</v>
      </c>
      <c r="C117" s="95">
        <v>26</v>
      </c>
      <c r="D117" s="94" t="s">
        <v>291</v>
      </c>
      <c r="E117" s="95">
        <v>11</v>
      </c>
      <c r="F117" s="95">
        <v>25</v>
      </c>
      <c r="G117" s="94" t="s">
        <v>273</v>
      </c>
      <c r="H117" s="167">
        <v>254.01</v>
      </c>
      <c r="I117" s="96">
        <v>0</v>
      </c>
      <c r="J117" s="94" t="s">
        <v>268</v>
      </c>
    </row>
    <row r="118" spans="1:10" hidden="1" x14ac:dyDescent="0.2">
      <c r="A118" s="94" t="s">
        <v>265</v>
      </c>
      <c r="B118" s="95">
        <v>2025</v>
      </c>
      <c r="C118" s="95">
        <v>26</v>
      </c>
      <c r="D118" s="94" t="s">
        <v>291</v>
      </c>
      <c r="E118" s="95">
        <v>11</v>
      </c>
      <c r="F118" s="95">
        <v>51</v>
      </c>
      <c r="G118" s="94" t="s">
        <v>274</v>
      </c>
      <c r="H118" s="167">
        <v>154</v>
      </c>
      <c r="I118" s="96">
        <v>0</v>
      </c>
      <c r="J118" s="94" t="s">
        <v>268</v>
      </c>
    </row>
    <row r="119" spans="1:10" hidden="1" x14ac:dyDescent="0.2">
      <c r="A119" s="94" t="s">
        <v>265</v>
      </c>
      <c r="B119" s="95">
        <v>2025</v>
      </c>
      <c r="C119" s="95">
        <v>26</v>
      </c>
      <c r="D119" s="94" t="s">
        <v>291</v>
      </c>
      <c r="E119" s="95">
        <v>11</v>
      </c>
      <c r="F119" s="95">
        <v>93</v>
      </c>
      <c r="G119" s="94" t="s">
        <v>275</v>
      </c>
      <c r="H119" s="167">
        <v>376.96</v>
      </c>
      <c r="I119" s="96">
        <v>0</v>
      </c>
      <c r="J119" s="94" t="s">
        <v>268</v>
      </c>
    </row>
    <row r="120" spans="1:10" hidden="1" x14ac:dyDescent="0.2">
      <c r="A120" s="94" t="s">
        <v>265</v>
      </c>
      <c r="B120" s="95">
        <v>2025</v>
      </c>
      <c r="C120" s="95">
        <v>27</v>
      </c>
      <c r="D120" s="94" t="s">
        <v>292</v>
      </c>
      <c r="E120" s="95">
        <v>11</v>
      </c>
      <c r="F120" s="95">
        <v>1</v>
      </c>
      <c r="G120" s="94" t="s">
        <v>267</v>
      </c>
      <c r="H120" s="167">
        <v>29118.83</v>
      </c>
      <c r="I120" s="96">
        <v>0</v>
      </c>
      <c r="J120" s="94" t="s">
        <v>268</v>
      </c>
    </row>
    <row r="121" spans="1:10" hidden="1" x14ac:dyDescent="0.2">
      <c r="A121" s="94" t="s">
        <v>265</v>
      </c>
      <c r="B121" s="95">
        <v>2025</v>
      </c>
      <c r="C121" s="95">
        <v>27</v>
      </c>
      <c r="D121" s="94" t="s">
        <v>292</v>
      </c>
      <c r="E121" s="95">
        <v>11</v>
      </c>
      <c r="F121" s="95">
        <v>3</v>
      </c>
      <c r="G121" s="94" t="s">
        <v>269</v>
      </c>
      <c r="H121" s="167">
        <v>303.97000000000003</v>
      </c>
      <c r="I121" s="96">
        <v>0</v>
      </c>
      <c r="J121" s="94" t="s">
        <v>268</v>
      </c>
    </row>
    <row r="122" spans="1:10" hidden="1" x14ac:dyDescent="0.2">
      <c r="A122" s="94" t="s">
        <v>265</v>
      </c>
      <c r="B122" s="95">
        <v>2025</v>
      </c>
      <c r="C122" s="95">
        <v>27</v>
      </c>
      <c r="D122" s="94" t="s">
        <v>292</v>
      </c>
      <c r="E122" s="95">
        <v>11</v>
      </c>
      <c r="F122" s="95">
        <v>4</v>
      </c>
      <c r="G122" s="94" t="s">
        <v>270</v>
      </c>
      <c r="H122" s="167">
        <v>315</v>
      </c>
      <c r="I122" s="96">
        <v>0</v>
      </c>
      <c r="J122" s="94" t="s">
        <v>268</v>
      </c>
    </row>
    <row r="123" spans="1:10" hidden="1" x14ac:dyDescent="0.2">
      <c r="A123" s="94" t="s">
        <v>265</v>
      </c>
      <c r="B123" s="95">
        <v>2025</v>
      </c>
      <c r="C123" s="95">
        <v>27</v>
      </c>
      <c r="D123" s="94" t="s">
        <v>292</v>
      </c>
      <c r="E123" s="95">
        <v>11</v>
      </c>
      <c r="F123" s="95">
        <v>6</v>
      </c>
      <c r="G123" s="94" t="s">
        <v>271</v>
      </c>
      <c r="H123" s="167">
        <v>12479.5</v>
      </c>
      <c r="I123" s="96">
        <v>0</v>
      </c>
      <c r="J123" s="94" t="s">
        <v>268</v>
      </c>
    </row>
    <row r="124" spans="1:10" hidden="1" x14ac:dyDescent="0.2">
      <c r="A124" s="94" t="s">
        <v>265</v>
      </c>
      <c r="B124" s="95">
        <v>2025</v>
      </c>
      <c r="C124" s="95">
        <v>27</v>
      </c>
      <c r="D124" s="94" t="s">
        <v>292</v>
      </c>
      <c r="E124" s="95">
        <v>11</v>
      </c>
      <c r="F124" s="95">
        <v>14</v>
      </c>
      <c r="G124" s="94" t="s">
        <v>284</v>
      </c>
      <c r="H124" s="167">
        <v>1690</v>
      </c>
      <c r="I124" s="96">
        <v>0</v>
      </c>
      <c r="J124" s="94" t="s">
        <v>268</v>
      </c>
    </row>
    <row r="125" spans="1:10" x14ac:dyDescent="0.2">
      <c r="A125" s="94" t="s">
        <v>265</v>
      </c>
      <c r="B125" s="95">
        <v>2025</v>
      </c>
      <c r="C125" s="95">
        <v>27</v>
      </c>
      <c r="D125" s="94" t="s">
        <v>292</v>
      </c>
      <c r="E125" s="95">
        <v>11</v>
      </c>
      <c r="F125" s="95">
        <v>15</v>
      </c>
      <c r="G125" s="94" t="s">
        <v>281</v>
      </c>
      <c r="H125" s="167">
        <v>70391.86</v>
      </c>
      <c r="I125" s="96">
        <v>0</v>
      </c>
      <c r="J125" s="94" t="s">
        <v>268</v>
      </c>
    </row>
    <row r="126" spans="1:10" hidden="1" x14ac:dyDescent="0.2">
      <c r="A126" s="94" t="s">
        <v>265</v>
      </c>
      <c r="B126" s="95">
        <v>2025</v>
      </c>
      <c r="C126" s="95">
        <v>27</v>
      </c>
      <c r="D126" s="94" t="s">
        <v>292</v>
      </c>
      <c r="E126" s="95">
        <v>11</v>
      </c>
      <c r="F126" s="95">
        <v>24</v>
      </c>
      <c r="G126" s="94" t="s">
        <v>272</v>
      </c>
      <c r="H126" s="167">
        <v>1000</v>
      </c>
      <c r="I126" s="96">
        <v>0</v>
      </c>
      <c r="J126" s="94" t="s">
        <v>268</v>
      </c>
    </row>
    <row r="127" spans="1:10" hidden="1" x14ac:dyDescent="0.2">
      <c r="A127" s="94" t="s">
        <v>265</v>
      </c>
      <c r="B127" s="95">
        <v>2025</v>
      </c>
      <c r="C127" s="95">
        <v>27</v>
      </c>
      <c r="D127" s="94" t="s">
        <v>292</v>
      </c>
      <c r="E127" s="95">
        <v>11</v>
      </c>
      <c r="F127" s="95">
        <v>25</v>
      </c>
      <c r="G127" s="94" t="s">
        <v>273</v>
      </c>
      <c r="H127" s="167">
        <v>251.99</v>
      </c>
      <c r="I127" s="96">
        <v>0</v>
      </c>
      <c r="J127" s="94" t="s">
        <v>268</v>
      </c>
    </row>
    <row r="128" spans="1:10" hidden="1" x14ac:dyDescent="0.2">
      <c r="A128" s="94" t="s">
        <v>265</v>
      </c>
      <c r="B128" s="95">
        <v>2025</v>
      </c>
      <c r="C128" s="95">
        <v>27</v>
      </c>
      <c r="D128" s="94" t="s">
        <v>292</v>
      </c>
      <c r="E128" s="95">
        <v>11</v>
      </c>
      <c r="F128" s="95">
        <v>51</v>
      </c>
      <c r="G128" s="94" t="s">
        <v>274</v>
      </c>
      <c r="H128" s="167">
        <v>154</v>
      </c>
      <c r="I128" s="96">
        <v>0</v>
      </c>
      <c r="J128" s="94" t="s">
        <v>268</v>
      </c>
    </row>
    <row r="129" spans="1:10" x14ac:dyDescent="0.2">
      <c r="A129" s="94" t="s">
        <v>265</v>
      </c>
      <c r="B129" s="95">
        <v>2025</v>
      </c>
      <c r="C129" s="95">
        <v>27</v>
      </c>
      <c r="D129" s="94" t="s">
        <v>292</v>
      </c>
      <c r="E129" s="95">
        <v>11</v>
      </c>
      <c r="F129" s="95">
        <v>62</v>
      </c>
      <c r="G129" s="94" t="s">
        <v>282</v>
      </c>
      <c r="H129" s="167">
        <v>37276.47</v>
      </c>
      <c r="I129" s="96">
        <v>0</v>
      </c>
      <c r="J129" s="94" t="s">
        <v>268</v>
      </c>
    </row>
    <row r="130" spans="1:10" hidden="1" x14ac:dyDescent="0.2">
      <c r="A130" s="94" t="s">
        <v>265</v>
      </c>
      <c r="B130" s="95">
        <v>2025</v>
      </c>
      <c r="C130" s="95">
        <v>27</v>
      </c>
      <c r="D130" s="94" t="s">
        <v>292</v>
      </c>
      <c r="E130" s="95">
        <v>11</v>
      </c>
      <c r="F130" s="95">
        <v>93</v>
      </c>
      <c r="G130" s="94" t="s">
        <v>275</v>
      </c>
      <c r="H130" s="167">
        <v>207.14</v>
      </c>
      <c r="I130" s="96">
        <v>0</v>
      </c>
      <c r="J130" s="94" t="s">
        <v>268</v>
      </c>
    </row>
    <row r="131" spans="1:10" hidden="1" x14ac:dyDescent="0.2">
      <c r="A131" s="94" t="s">
        <v>265</v>
      </c>
      <c r="B131" s="95">
        <v>2025</v>
      </c>
      <c r="C131" s="95">
        <v>28</v>
      </c>
      <c r="D131" s="94" t="s">
        <v>293</v>
      </c>
      <c r="E131" s="95">
        <v>11</v>
      </c>
      <c r="F131" s="95">
        <v>1</v>
      </c>
      <c r="G131" s="94" t="s">
        <v>267</v>
      </c>
      <c r="H131" s="167">
        <v>30450</v>
      </c>
      <c r="I131" s="96">
        <v>0</v>
      </c>
      <c r="J131" s="94" t="s">
        <v>268</v>
      </c>
    </row>
    <row r="132" spans="1:10" hidden="1" x14ac:dyDescent="0.2">
      <c r="A132" s="94" t="s">
        <v>265</v>
      </c>
      <c r="B132" s="95">
        <v>2025</v>
      </c>
      <c r="C132" s="95">
        <v>28</v>
      </c>
      <c r="D132" s="94" t="s">
        <v>293</v>
      </c>
      <c r="E132" s="95">
        <v>11</v>
      </c>
      <c r="F132" s="95">
        <v>3</v>
      </c>
      <c r="G132" s="94" t="s">
        <v>269</v>
      </c>
      <c r="H132" s="167">
        <v>283.01</v>
      </c>
      <c r="I132" s="96">
        <v>0</v>
      </c>
      <c r="J132" s="94" t="s">
        <v>268</v>
      </c>
    </row>
    <row r="133" spans="1:10" hidden="1" x14ac:dyDescent="0.2">
      <c r="A133" s="94" t="s">
        <v>265</v>
      </c>
      <c r="B133" s="95">
        <v>2025</v>
      </c>
      <c r="C133" s="95">
        <v>28</v>
      </c>
      <c r="D133" s="94" t="s">
        <v>293</v>
      </c>
      <c r="E133" s="95">
        <v>11</v>
      </c>
      <c r="F133" s="95">
        <v>4</v>
      </c>
      <c r="G133" s="94" t="s">
        <v>270</v>
      </c>
      <c r="H133" s="167">
        <v>315</v>
      </c>
      <c r="I133" s="96">
        <v>0</v>
      </c>
      <c r="J133" s="94" t="s">
        <v>268</v>
      </c>
    </row>
    <row r="134" spans="1:10" hidden="1" x14ac:dyDescent="0.2">
      <c r="A134" s="94" t="s">
        <v>265</v>
      </c>
      <c r="B134" s="95">
        <v>2025</v>
      </c>
      <c r="C134" s="95">
        <v>28</v>
      </c>
      <c r="D134" s="94" t="s">
        <v>293</v>
      </c>
      <c r="E134" s="95">
        <v>11</v>
      </c>
      <c r="F134" s="95">
        <v>6</v>
      </c>
      <c r="G134" s="94" t="s">
        <v>271</v>
      </c>
      <c r="H134" s="167">
        <v>13050</v>
      </c>
      <c r="I134" s="96">
        <v>0</v>
      </c>
      <c r="J134" s="94" t="s">
        <v>268</v>
      </c>
    </row>
    <row r="135" spans="1:10" x14ac:dyDescent="0.2">
      <c r="A135" s="94" t="s">
        <v>265</v>
      </c>
      <c r="B135" s="95">
        <v>2025</v>
      </c>
      <c r="C135" s="95">
        <v>28</v>
      </c>
      <c r="D135" s="94" t="s">
        <v>293</v>
      </c>
      <c r="E135" s="95">
        <v>11</v>
      </c>
      <c r="F135" s="95">
        <v>15</v>
      </c>
      <c r="G135" s="94" t="s">
        <v>281</v>
      </c>
      <c r="H135" s="167">
        <v>55021.24</v>
      </c>
      <c r="I135" s="96">
        <v>0</v>
      </c>
      <c r="J135" s="94" t="s">
        <v>268</v>
      </c>
    </row>
    <row r="136" spans="1:10" hidden="1" x14ac:dyDescent="0.2">
      <c r="A136" s="94" t="s">
        <v>265</v>
      </c>
      <c r="B136" s="95">
        <v>2025</v>
      </c>
      <c r="C136" s="95">
        <v>28</v>
      </c>
      <c r="D136" s="94" t="s">
        <v>293</v>
      </c>
      <c r="E136" s="95">
        <v>11</v>
      </c>
      <c r="F136" s="95">
        <v>24</v>
      </c>
      <c r="G136" s="94" t="s">
        <v>272</v>
      </c>
      <c r="H136" s="167">
        <v>1000</v>
      </c>
      <c r="I136" s="96">
        <v>0</v>
      </c>
      <c r="J136" s="94" t="s">
        <v>268</v>
      </c>
    </row>
    <row r="137" spans="1:10" hidden="1" x14ac:dyDescent="0.2">
      <c r="A137" s="94" t="s">
        <v>265</v>
      </c>
      <c r="B137" s="95">
        <v>2025</v>
      </c>
      <c r="C137" s="95">
        <v>28</v>
      </c>
      <c r="D137" s="94" t="s">
        <v>293</v>
      </c>
      <c r="E137" s="95">
        <v>11</v>
      </c>
      <c r="F137" s="95">
        <v>25</v>
      </c>
      <c r="G137" s="94" t="s">
        <v>273</v>
      </c>
      <c r="H137" s="167">
        <v>223.38</v>
      </c>
      <c r="I137" s="96">
        <v>0</v>
      </c>
      <c r="J137" s="94" t="s">
        <v>268</v>
      </c>
    </row>
    <row r="138" spans="1:10" hidden="1" x14ac:dyDescent="0.2">
      <c r="A138" s="94" t="s">
        <v>265</v>
      </c>
      <c r="B138" s="95">
        <v>2025</v>
      </c>
      <c r="C138" s="95">
        <v>28</v>
      </c>
      <c r="D138" s="94" t="s">
        <v>293</v>
      </c>
      <c r="E138" s="95">
        <v>11</v>
      </c>
      <c r="F138" s="95">
        <v>51</v>
      </c>
      <c r="G138" s="94" t="s">
        <v>274</v>
      </c>
      <c r="H138" s="167">
        <v>154</v>
      </c>
      <c r="I138" s="96">
        <v>0</v>
      </c>
      <c r="J138" s="94" t="s">
        <v>268</v>
      </c>
    </row>
    <row r="139" spans="1:10" x14ac:dyDescent="0.2">
      <c r="A139" s="94" t="s">
        <v>265</v>
      </c>
      <c r="B139" s="95">
        <v>2025</v>
      </c>
      <c r="C139" s="95">
        <v>28</v>
      </c>
      <c r="D139" s="94" t="s">
        <v>293</v>
      </c>
      <c r="E139" s="95">
        <v>11</v>
      </c>
      <c r="F139" s="95">
        <v>62</v>
      </c>
      <c r="G139" s="94" t="s">
        <v>282</v>
      </c>
      <c r="H139" s="167">
        <v>25130.75</v>
      </c>
      <c r="I139" s="96">
        <v>0</v>
      </c>
      <c r="J139" s="94" t="s">
        <v>268</v>
      </c>
    </row>
    <row r="140" spans="1:10" hidden="1" x14ac:dyDescent="0.2">
      <c r="A140" s="94" t="s">
        <v>265</v>
      </c>
      <c r="B140" s="95">
        <v>2025</v>
      </c>
      <c r="C140" s="95">
        <v>28</v>
      </c>
      <c r="D140" s="94" t="s">
        <v>293</v>
      </c>
      <c r="E140" s="95">
        <v>11</v>
      </c>
      <c r="F140" s="95">
        <v>93</v>
      </c>
      <c r="G140" s="94" t="s">
        <v>275</v>
      </c>
      <c r="H140" s="167">
        <v>330.75</v>
      </c>
      <c r="I140" s="96">
        <v>0</v>
      </c>
      <c r="J140" s="94" t="s">
        <v>268</v>
      </c>
    </row>
    <row r="141" spans="1:10" hidden="1" x14ac:dyDescent="0.2">
      <c r="A141" s="94" t="s">
        <v>265</v>
      </c>
      <c r="B141" s="95">
        <v>2025</v>
      </c>
      <c r="C141" s="95">
        <v>30</v>
      </c>
      <c r="D141" s="94" t="s">
        <v>294</v>
      </c>
      <c r="E141" s="95">
        <v>11</v>
      </c>
      <c r="F141" s="95">
        <v>1</v>
      </c>
      <c r="G141" s="94" t="s">
        <v>267</v>
      </c>
      <c r="H141" s="167">
        <v>28484.1</v>
      </c>
      <c r="I141" s="96">
        <v>0</v>
      </c>
      <c r="J141" s="94" t="s">
        <v>268</v>
      </c>
    </row>
    <row r="142" spans="1:10" hidden="1" x14ac:dyDescent="0.2">
      <c r="A142" s="94" t="s">
        <v>265</v>
      </c>
      <c r="B142" s="95">
        <v>2025</v>
      </c>
      <c r="C142" s="95">
        <v>30</v>
      </c>
      <c r="D142" s="94" t="s">
        <v>294</v>
      </c>
      <c r="E142" s="95">
        <v>11</v>
      </c>
      <c r="F142" s="95">
        <v>3</v>
      </c>
      <c r="G142" s="94" t="s">
        <v>269</v>
      </c>
      <c r="H142" s="167">
        <v>304</v>
      </c>
      <c r="I142" s="96">
        <v>0</v>
      </c>
      <c r="J142" s="94" t="s">
        <v>268</v>
      </c>
    </row>
    <row r="143" spans="1:10" hidden="1" x14ac:dyDescent="0.2">
      <c r="A143" s="94" t="s">
        <v>265</v>
      </c>
      <c r="B143" s="95">
        <v>2025</v>
      </c>
      <c r="C143" s="95">
        <v>30</v>
      </c>
      <c r="D143" s="94" t="s">
        <v>294</v>
      </c>
      <c r="E143" s="95">
        <v>11</v>
      </c>
      <c r="F143" s="95">
        <v>4</v>
      </c>
      <c r="G143" s="94" t="s">
        <v>270</v>
      </c>
      <c r="H143" s="167">
        <v>315</v>
      </c>
      <c r="I143" s="96">
        <v>0</v>
      </c>
      <c r="J143" s="94" t="s">
        <v>268</v>
      </c>
    </row>
    <row r="144" spans="1:10" hidden="1" x14ac:dyDescent="0.2">
      <c r="A144" s="94" t="s">
        <v>265</v>
      </c>
      <c r="B144" s="95">
        <v>2025</v>
      </c>
      <c r="C144" s="95">
        <v>30</v>
      </c>
      <c r="D144" s="94" t="s">
        <v>294</v>
      </c>
      <c r="E144" s="95">
        <v>11</v>
      </c>
      <c r="F144" s="95">
        <v>6</v>
      </c>
      <c r="G144" s="94" t="s">
        <v>271</v>
      </c>
      <c r="H144" s="167">
        <v>12207.47</v>
      </c>
      <c r="I144" s="96">
        <v>0</v>
      </c>
      <c r="J144" s="94" t="s">
        <v>268</v>
      </c>
    </row>
    <row r="145" spans="1:10" hidden="1" x14ac:dyDescent="0.2">
      <c r="A145" s="94" t="s">
        <v>265</v>
      </c>
      <c r="B145" s="95">
        <v>2025</v>
      </c>
      <c r="C145" s="95">
        <v>30</v>
      </c>
      <c r="D145" s="94" t="s">
        <v>294</v>
      </c>
      <c r="E145" s="95">
        <v>11</v>
      </c>
      <c r="F145" s="95">
        <v>24</v>
      </c>
      <c r="G145" s="94" t="s">
        <v>272</v>
      </c>
      <c r="H145" s="167">
        <v>1000</v>
      </c>
      <c r="I145" s="96">
        <v>0</v>
      </c>
      <c r="J145" s="94" t="s">
        <v>268</v>
      </c>
    </row>
    <row r="146" spans="1:10" hidden="1" x14ac:dyDescent="0.2">
      <c r="A146" s="94" t="s">
        <v>265</v>
      </c>
      <c r="B146" s="95">
        <v>2025</v>
      </c>
      <c r="C146" s="95">
        <v>30</v>
      </c>
      <c r="D146" s="94" t="s">
        <v>294</v>
      </c>
      <c r="E146" s="95">
        <v>11</v>
      </c>
      <c r="F146" s="95">
        <v>25</v>
      </c>
      <c r="G146" s="94" t="s">
        <v>273</v>
      </c>
      <c r="H146" s="167">
        <v>253.99</v>
      </c>
      <c r="I146" s="96">
        <v>0</v>
      </c>
      <c r="J146" s="94" t="s">
        <v>268</v>
      </c>
    </row>
    <row r="147" spans="1:10" hidden="1" x14ac:dyDescent="0.2">
      <c r="A147" s="94" t="s">
        <v>265</v>
      </c>
      <c r="B147" s="95">
        <v>2025</v>
      </c>
      <c r="C147" s="95">
        <v>30</v>
      </c>
      <c r="D147" s="94" t="s">
        <v>294</v>
      </c>
      <c r="E147" s="95">
        <v>11</v>
      </c>
      <c r="F147" s="95">
        <v>51</v>
      </c>
      <c r="G147" s="94" t="s">
        <v>274</v>
      </c>
      <c r="H147" s="167">
        <v>154</v>
      </c>
      <c r="I147" s="96">
        <v>0</v>
      </c>
      <c r="J147" s="94" t="s">
        <v>268</v>
      </c>
    </row>
    <row r="148" spans="1:10" hidden="1" x14ac:dyDescent="0.2">
      <c r="A148" s="94" t="s">
        <v>265</v>
      </c>
      <c r="B148" s="95">
        <v>2025</v>
      </c>
      <c r="C148" s="95">
        <v>32</v>
      </c>
      <c r="D148" s="94" t="s">
        <v>295</v>
      </c>
      <c r="E148" s="95">
        <v>11</v>
      </c>
      <c r="F148" s="95">
        <v>1</v>
      </c>
      <c r="G148" s="94" t="s">
        <v>267</v>
      </c>
      <c r="H148" s="167">
        <v>37201.410000000003</v>
      </c>
      <c r="I148" s="96">
        <v>0</v>
      </c>
      <c r="J148" s="94" t="s">
        <v>268</v>
      </c>
    </row>
    <row r="149" spans="1:10" hidden="1" x14ac:dyDescent="0.2">
      <c r="A149" s="94" t="s">
        <v>265</v>
      </c>
      <c r="B149" s="95">
        <v>2025</v>
      </c>
      <c r="C149" s="95">
        <v>32</v>
      </c>
      <c r="D149" s="94" t="s">
        <v>295</v>
      </c>
      <c r="E149" s="95">
        <v>11</v>
      </c>
      <c r="F149" s="95">
        <v>3</v>
      </c>
      <c r="G149" s="94" t="s">
        <v>269</v>
      </c>
      <c r="H149" s="167">
        <v>230</v>
      </c>
      <c r="I149" s="96">
        <v>0</v>
      </c>
      <c r="J149" s="94" t="s">
        <v>268</v>
      </c>
    </row>
    <row r="150" spans="1:10" hidden="1" x14ac:dyDescent="0.2">
      <c r="A150" s="94" t="s">
        <v>265</v>
      </c>
      <c r="B150" s="95">
        <v>2025</v>
      </c>
      <c r="C150" s="95">
        <v>32</v>
      </c>
      <c r="D150" s="94" t="s">
        <v>295</v>
      </c>
      <c r="E150" s="95">
        <v>11</v>
      </c>
      <c r="F150" s="95">
        <v>4</v>
      </c>
      <c r="G150" s="94" t="s">
        <v>270</v>
      </c>
      <c r="H150" s="167">
        <v>315</v>
      </c>
      <c r="I150" s="96">
        <v>0</v>
      </c>
      <c r="J150" s="94" t="s">
        <v>268</v>
      </c>
    </row>
    <row r="151" spans="1:10" hidden="1" x14ac:dyDescent="0.2">
      <c r="A151" s="94" t="s">
        <v>265</v>
      </c>
      <c r="B151" s="95">
        <v>2025</v>
      </c>
      <c r="C151" s="95">
        <v>32</v>
      </c>
      <c r="D151" s="94" t="s">
        <v>295</v>
      </c>
      <c r="E151" s="95">
        <v>11</v>
      </c>
      <c r="F151" s="95">
        <v>6</v>
      </c>
      <c r="G151" s="94" t="s">
        <v>271</v>
      </c>
      <c r="H151" s="167">
        <v>15943.46</v>
      </c>
      <c r="I151" s="96">
        <v>0</v>
      </c>
      <c r="J151" s="94" t="s">
        <v>268</v>
      </c>
    </row>
    <row r="152" spans="1:10" hidden="1" x14ac:dyDescent="0.2">
      <c r="A152" s="94" t="s">
        <v>265</v>
      </c>
      <c r="B152" s="95">
        <v>2025</v>
      </c>
      <c r="C152" s="95">
        <v>32</v>
      </c>
      <c r="D152" s="94" t="s">
        <v>295</v>
      </c>
      <c r="E152" s="95">
        <v>11</v>
      </c>
      <c r="F152" s="95">
        <v>22</v>
      </c>
      <c r="G152" s="94" t="s">
        <v>296</v>
      </c>
      <c r="H152" s="167">
        <v>150</v>
      </c>
      <c r="I152" s="96">
        <v>0</v>
      </c>
      <c r="J152" s="94" t="s">
        <v>268</v>
      </c>
    </row>
    <row r="153" spans="1:10" hidden="1" x14ac:dyDescent="0.2">
      <c r="A153" s="94" t="s">
        <v>265</v>
      </c>
      <c r="B153" s="95">
        <v>2025</v>
      </c>
      <c r="C153" s="95">
        <v>32</v>
      </c>
      <c r="D153" s="94" t="s">
        <v>295</v>
      </c>
      <c r="E153" s="95">
        <v>11</v>
      </c>
      <c r="F153" s="95">
        <v>24</v>
      </c>
      <c r="G153" s="94" t="s">
        <v>272</v>
      </c>
      <c r="H153" s="167">
        <v>1000</v>
      </c>
      <c r="I153" s="96">
        <v>0</v>
      </c>
      <c r="J153" s="94" t="s">
        <v>268</v>
      </c>
    </row>
    <row r="154" spans="1:10" hidden="1" x14ac:dyDescent="0.2">
      <c r="A154" s="94" t="s">
        <v>265</v>
      </c>
      <c r="B154" s="95">
        <v>2025</v>
      </c>
      <c r="C154" s="95">
        <v>32</v>
      </c>
      <c r="D154" s="94" t="s">
        <v>295</v>
      </c>
      <c r="E154" s="95">
        <v>11</v>
      </c>
      <c r="F154" s="95">
        <v>25</v>
      </c>
      <c r="G154" s="94" t="s">
        <v>273</v>
      </c>
      <c r="H154" s="167">
        <v>304</v>
      </c>
      <c r="I154" s="96">
        <v>0</v>
      </c>
      <c r="J154" s="94" t="s">
        <v>268</v>
      </c>
    </row>
    <row r="155" spans="1:10" hidden="1" x14ac:dyDescent="0.2">
      <c r="A155" s="94" t="s">
        <v>265</v>
      </c>
      <c r="B155" s="95">
        <v>2025</v>
      </c>
      <c r="C155" s="95">
        <v>32</v>
      </c>
      <c r="D155" s="94" t="s">
        <v>295</v>
      </c>
      <c r="E155" s="95">
        <v>11</v>
      </c>
      <c r="F155" s="95">
        <v>51</v>
      </c>
      <c r="G155" s="94" t="s">
        <v>274</v>
      </c>
      <c r="H155" s="167">
        <v>154</v>
      </c>
      <c r="I155" s="96">
        <v>0</v>
      </c>
      <c r="J155" s="94" t="s">
        <v>268</v>
      </c>
    </row>
    <row r="156" spans="1:10" hidden="1" x14ac:dyDescent="0.2">
      <c r="A156" s="94" t="s">
        <v>265</v>
      </c>
      <c r="B156" s="95">
        <v>2025</v>
      </c>
      <c r="C156" s="95">
        <v>32</v>
      </c>
      <c r="D156" s="94" t="s">
        <v>295</v>
      </c>
      <c r="E156" s="95">
        <v>11</v>
      </c>
      <c r="F156" s="95">
        <v>93</v>
      </c>
      <c r="G156" s="94" t="s">
        <v>275</v>
      </c>
      <c r="H156" s="167">
        <v>1709.64</v>
      </c>
      <c r="I156" s="96">
        <v>0</v>
      </c>
      <c r="J156" s="94" t="s">
        <v>268</v>
      </c>
    </row>
    <row r="157" spans="1:10" hidden="1" x14ac:dyDescent="0.2">
      <c r="A157" s="94" t="s">
        <v>265</v>
      </c>
      <c r="B157" s="95">
        <v>2025</v>
      </c>
      <c r="C157" s="95">
        <v>35</v>
      </c>
      <c r="D157" s="94" t="s">
        <v>297</v>
      </c>
      <c r="E157" s="95">
        <v>11</v>
      </c>
      <c r="F157" s="95">
        <v>1</v>
      </c>
      <c r="G157" s="94" t="s">
        <v>267</v>
      </c>
      <c r="H157" s="167">
        <v>14709.74</v>
      </c>
      <c r="I157" s="96">
        <v>0</v>
      </c>
      <c r="J157" s="94" t="s">
        <v>298</v>
      </c>
    </row>
    <row r="158" spans="1:10" hidden="1" x14ac:dyDescent="0.2">
      <c r="A158" s="94" t="s">
        <v>265</v>
      </c>
      <c r="B158" s="95">
        <v>2025</v>
      </c>
      <c r="C158" s="95">
        <v>35</v>
      </c>
      <c r="D158" s="94" t="s">
        <v>297</v>
      </c>
      <c r="E158" s="95">
        <v>11</v>
      </c>
      <c r="F158" s="95">
        <v>3</v>
      </c>
      <c r="G158" s="94" t="s">
        <v>269</v>
      </c>
      <c r="H158" s="167">
        <v>218.45</v>
      </c>
      <c r="I158" s="96">
        <v>0</v>
      </c>
      <c r="J158" s="94" t="s">
        <v>298</v>
      </c>
    </row>
    <row r="159" spans="1:10" hidden="1" x14ac:dyDescent="0.2">
      <c r="A159" s="94" t="s">
        <v>265</v>
      </c>
      <c r="B159" s="95">
        <v>2025</v>
      </c>
      <c r="C159" s="95">
        <v>35</v>
      </c>
      <c r="D159" s="94" t="s">
        <v>297</v>
      </c>
      <c r="E159" s="95">
        <v>11</v>
      </c>
      <c r="F159" s="95">
        <v>4</v>
      </c>
      <c r="G159" s="94" t="s">
        <v>270</v>
      </c>
      <c r="H159" s="167">
        <v>315</v>
      </c>
      <c r="I159" s="96">
        <v>0</v>
      </c>
      <c r="J159" s="94" t="s">
        <v>298</v>
      </c>
    </row>
    <row r="160" spans="1:10" hidden="1" x14ac:dyDescent="0.2">
      <c r="A160" s="94" t="s">
        <v>265</v>
      </c>
      <c r="B160" s="95">
        <v>2025</v>
      </c>
      <c r="C160" s="95">
        <v>35</v>
      </c>
      <c r="D160" s="94" t="s">
        <v>297</v>
      </c>
      <c r="E160" s="95">
        <v>11</v>
      </c>
      <c r="F160" s="95">
        <v>6</v>
      </c>
      <c r="G160" s="94" t="s">
        <v>271</v>
      </c>
      <c r="H160" s="167">
        <v>6304.18</v>
      </c>
      <c r="I160" s="96">
        <v>0</v>
      </c>
      <c r="J160" s="94" t="s">
        <v>298</v>
      </c>
    </row>
    <row r="161" spans="1:10" hidden="1" x14ac:dyDescent="0.2">
      <c r="A161" s="94" t="s">
        <v>265</v>
      </c>
      <c r="B161" s="95">
        <v>2025</v>
      </c>
      <c r="C161" s="95">
        <v>35</v>
      </c>
      <c r="D161" s="94" t="s">
        <v>297</v>
      </c>
      <c r="E161" s="95">
        <v>11</v>
      </c>
      <c r="F161" s="95">
        <v>24</v>
      </c>
      <c r="G161" s="94" t="s">
        <v>272</v>
      </c>
      <c r="H161" s="167">
        <v>1000</v>
      </c>
      <c r="I161" s="96">
        <v>0</v>
      </c>
      <c r="J161" s="94" t="s">
        <v>298</v>
      </c>
    </row>
    <row r="162" spans="1:10" hidden="1" x14ac:dyDescent="0.2">
      <c r="A162" s="94" t="s">
        <v>265</v>
      </c>
      <c r="B162" s="95">
        <v>2025</v>
      </c>
      <c r="C162" s="95">
        <v>35</v>
      </c>
      <c r="D162" s="94" t="s">
        <v>297</v>
      </c>
      <c r="E162" s="95">
        <v>11</v>
      </c>
      <c r="F162" s="95">
        <v>25</v>
      </c>
      <c r="G162" s="94" t="s">
        <v>273</v>
      </c>
      <c r="H162" s="167">
        <v>136.78</v>
      </c>
      <c r="I162" s="96">
        <v>0</v>
      </c>
      <c r="J162" s="94" t="s">
        <v>298</v>
      </c>
    </row>
    <row r="163" spans="1:10" hidden="1" x14ac:dyDescent="0.2">
      <c r="A163" s="94" t="s">
        <v>265</v>
      </c>
      <c r="B163" s="95">
        <v>2025</v>
      </c>
      <c r="C163" s="95">
        <v>35</v>
      </c>
      <c r="D163" s="94" t="s">
        <v>297</v>
      </c>
      <c r="E163" s="95">
        <v>11</v>
      </c>
      <c r="F163" s="95">
        <v>51</v>
      </c>
      <c r="G163" s="94" t="s">
        <v>274</v>
      </c>
      <c r="H163" s="167">
        <v>154</v>
      </c>
      <c r="I163" s="96">
        <v>0</v>
      </c>
      <c r="J163" s="94" t="s">
        <v>298</v>
      </c>
    </row>
    <row r="164" spans="1:10" hidden="1" x14ac:dyDescent="0.2">
      <c r="A164" s="94" t="s">
        <v>265</v>
      </c>
      <c r="B164" s="95">
        <v>2025</v>
      </c>
      <c r="C164" s="95">
        <v>36</v>
      </c>
      <c r="D164" s="94" t="s">
        <v>299</v>
      </c>
      <c r="E164" s="95">
        <v>11</v>
      </c>
      <c r="F164" s="95">
        <v>1</v>
      </c>
      <c r="G164" s="94" t="s">
        <v>267</v>
      </c>
      <c r="H164" s="167">
        <v>19267.330000000002</v>
      </c>
      <c r="I164" s="96">
        <v>0</v>
      </c>
      <c r="J164" s="94" t="s">
        <v>268</v>
      </c>
    </row>
    <row r="165" spans="1:10" hidden="1" x14ac:dyDescent="0.2">
      <c r="A165" s="94" t="s">
        <v>265</v>
      </c>
      <c r="B165" s="95">
        <v>2025</v>
      </c>
      <c r="C165" s="95">
        <v>36</v>
      </c>
      <c r="D165" s="94" t="s">
        <v>299</v>
      </c>
      <c r="E165" s="95">
        <v>11</v>
      </c>
      <c r="F165" s="95">
        <v>3</v>
      </c>
      <c r="G165" s="94" t="s">
        <v>269</v>
      </c>
      <c r="H165" s="167">
        <v>216.93</v>
      </c>
      <c r="I165" s="96">
        <v>0</v>
      </c>
      <c r="J165" s="94" t="s">
        <v>268</v>
      </c>
    </row>
    <row r="166" spans="1:10" hidden="1" x14ac:dyDescent="0.2">
      <c r="A166" s="94" t="s">
        <v>265</v>
      </c>
      <c r="B166" s="95">
        <v>2025</v>
      </c>
      <c r="C166" s="95">
        <v>36</v>
      </c>
      <c r="D166" s="94" t="s">
        <v>299</v>
      </c>
      <c r="E166" s="95">
        <v>11</v>
      </c>
      <c r="F166" s="95">
        <v>4</v>
      </c>
      <c r="G166" s="94" t="s">
        <v>270</v>
      </c>
      <c r="H166" s="167">
        <v>474.6</v>
      </c>
      <c r="I166" s="96">
        <v>21</v>
      </c>
      <c r="J166" s="94" t="s">
        <v>268</v>
      </c>
    </row>
    <row r="167" spans="1:10" hidden="1" x14ac:dyDescent="0.2">
      <c r="A167" s="94" t="s">
        <v>265</v>
      </c>
      <c r="B167" s="95">
        <v>2025</v>
      </c>
      <c r="C167" s="95">
        <v>36</v>
      </c>
      <c r="D167" s="94" t="s">
        <v>299</v>
      </c>
      <c r="E167" s="95">
        <v>11</v>
      </c>
      <c r="F167" s="95">
        <v>6</v>
      </c>
      <c r="G167" s="94" t="s">
        <v>271</v>
      </c>
      <c r="H167" s="167">
        <v>8257.43</v>
      </c>
      <c r="I167" s="96">
        <v>0</v>
      </c>
      <c r="J167" s="94" t="s">
        <v>268</v>
      </c>
    </row>
    <row r="168" spans="1:10" hidden="1" x14ac:dyDescent="0.2">
      <c r="A168" s="94" t="s">
        <v>265</v>
      </c>
      <c r="B168" s="95">
        <v>2025</v>
      </c>
      <c r="C168" s="95">
        <v>36</v>
      </c>
      <c r="D168" s="94" t="s">
        <v>299</v>
      </c>
      <c r="E168" s="95">
        <v>11</v>
      </c>
      <c r="F168" s="95">
        <v>24</v>
      </c>
      <c r="G168" s="94" t="s">
        <v>272</v>
      </c>
      <c r="H168" s="167">
        <v>1168</v>
      </c>
      <c r="I168" s="96">
        <v>0</v>
      </c>
      <c r="J168" s="94" t="s">
        <v>268</v>
      </c>
    </row>
    <row r="169" spans="1:10" hidden="1" x14ac:dyDescent="0.2">
      <c r="A169" s="94" t="s">
        <v>265</v>
      </c>
      <c r="B169" s="95">
        <v>2025</v>
      </c>
      <c r="C169" s="95">
        <v>36</v>
      </c>
      <c r="D169" s="94" t="s">
        <v>299</v>
      </c>
      <c r="E169" s="95">
        <v>11</v>
      </c>
      <c r="F169" s="95">
        <v>25</v>
      </c>
      <c r="G169" s="94" t="s">
        <v>273</v>
      </c>
      <c r="H169" s="167">
        <v>286.14999999999998</v>
      </c>
      <c r="I169" s="96">
        <v>0</v>
      </c>
      <c r="J169" s="94" t="s">
        <v>268</v>
      </c>
    </row>
    <row r="170" spans="1:10" hidden="1" x14ac:dyDescent="0.2">
      <c r="A170" s="94" t="s">
        <v>265</v>
      </c>
      <c r="B170" s="95">
        <v>2025</v>
      </c>
      <c r="C170" s="95">
        <v>36</v>
      </c>
      <c r="D170" s="94" t="s">
        <v>299</v>
      </c>
      <c r="E170" s="95">
        <v>11</v>
      </c>
      <c r="F170" s="95">
        <v>51</v>
      </c>
      <c r="G170" s="94" t="s">
        <v>274</v>
      </c>
      <c r="H170" s="167">
        <v>154</v>
      </c>
      <c r="I170" s="96">
        <v>0</v>
      </c>
      <c r="J170" s="94" t="s">
        <v>268</v>
      </c>
    </row>
    <row r="171" spans="1:10" hidden="1" x14ac:dyDescent="0.2">
      <c r="A171" s="94" t="s">
        <v>265</v>
      </c>
      <c r="B171" s="95">
        <v>2025</v>
      </c>
      <c r="C171" s="95">
        <v>38</v>
      </c>
      <c r="D171" s="94" t="s">
        <v>300</v>
      </c>
      <c r="E171" s="95">
        <v>11</v>
      </c>
      <c r="F171" s="95">
        <v>1</v>
      </c>
      <c r="G171" s="94" t="s">
        <v>267</v>
      </c>
      <c r="H171" s="167">
        <v>32752.94</v>
      </c>
      <c r="I171" s="96">
        <v>0</v>
      </c>
      <c r="J171" s="94" t="s">
        <v>268</v>
      </c>
    </row>
    <row r="172" spans="1:10" hidden="1" x14ac:dyDescent="0.2">
      <c r="A172" s="94" t="s">
        <v>265</v>
      </c>
      <c r="B172" s="95">
        <v>2025</v>
      </c>
      <c r="C172" s="95">
        <v>38</v>
      </c>
      <c r="D172" s="94" t="s">
        <v>300</v>
      </c>
      <c r="E172" s="95">
        <v>11</v>
      </c>
      <c r="F172" s="95">
        <v>3</v>
      </c>
      <c r="G172" s="94" t="s">
        <v>269</v>
      </c>
      <c r="H172" s="167">
        <v>304</v>
      </c>
      <c r="I172" s="96">
        <v>0</v>
      </c>
      <c r="J172" s="94" t="s">
        <v>268</v>
      </c>
    </row>
    <row r="173" spans="1:10" hidden="1" x14ac:dyDescent="0.2">
      <c r="A173" s="94" t="s">
        <v>265</v>
      </c>
      <c r="B173" s="95">
        <v>2025</v>
      </c>
      <c r="C173" s="95">
        <v>38</v>
      </c>
      <c r="D173" s="94" t="s">
        <v>300</v>
      </c>
      <c r="E173" s="95">
        <v>11</v>
      </c>
      <c r="F173" s="95">
        <v>4</v>
      </c>
      <c r="G173" s="94" t="s">
        <v>270</v>
      </c>
      <c r="H173" s="167">
        <v>315</v>
      </c>
      <c r="I173" s="96">
        <v>0</v>
      </c>
      <c r="J173" s="94" t="s">
        <v>268</v>
      </c>
    </row>
    <row r="174" spans="1:10" hidden="1" x14ac:dyDescent="0.2">
      <c r="A174" s="94" t="s">
        <v>265</v>
      </c>
      <c r="B174" s="95">
        <v>2025</v>
      </c>
      <c r="C174" s="95">
        <v>38</v>
      </c>
      <c r="D174" s="94" t="s">
        <v>300</v>
      </c>
      <c r="E174" s="95">
        <v>11</v>
      </c>
      <c r="F174" s="95">
        <v>6</v>
      </c>
      <c r="G174" s="94" t="s">
        <v>271</v>
      </c>
      <c r="H174" s="167">
        <v>14036.98</v>
      </c>
      <c r="I174" s="96">
        <v>0</v>
      </c>
      <c r="J174" s="94" t="s">
        <v>268</v>
      </c>
    </row>
    <row r="175" spans="1:10" hidden="1" x14ac:dyDescent="0.2">
      <c r="A175" s="94" t="s">
        <v>265</v>
      </c>
      <c r="B175" s="95">
        <v>2025</v>
      </c>
      <c r="C175" s="95">
        <v>38</v>
      </c>
      <c r="D175" s="94" t="s">
        <v>300</v>
      </c>
      <c r="E175" s="95">
        <v>11</v>
      </c>
      <c r="F175" s="95">
        <v>24</v>
      </c>
      <c r="G175" s="94" t="s">
        <v>272</v>
      </c>
      <c r="H175" s="167">
        <v>1000</v>
      </c>
      <c r="I175" s="96">
        <v>0</v>
      </c>
      <c r="J175" s="94" t="s">
        <v>268</v>
      </c>
    </row>
    <row r="176" spans="1:10" hidden="1" x14ac:dyDescent="0.2">
      <c r="A176" s="94" t="s">
        <v>265</v>
      </c>
      <c r="B176" s="95">
        <v>2025</v>
      </c>
      <c r="C176" s="95">
        <v>38</v>
      </c>
      <c r="D176" s="94" t="s">
        <v>300</v>
      </c>
      <c r="E176" s="95">
        <v>11</v>
      </c>
      <c r="F176" s="95">
        <v>25</v>
      </c>
      <c r="G176" s="94" t="s">
        <v>273</v>
      </c>
      <c r="H176" s="167">
        <v>252.03</v>
      </c>
      <c r="I176" s="96">
        <v>0</v>
      </c>
      <c r="J176" s="94" t="s">
        <v>268</v>
      </c>
    </row>
    <row r="177" spans="1:10" hidden="1" x14ac:dyDescent="0.2">
      <c r="A177" s="94" t="s">
        <v>265</v>
      </c>
      <c r="B177" s="95">
        <v>2025</v>
      </c>
      <c r="C177" s="95">
        <v>38</v>
      </c>
      <c r="D177" s="94" t="s">
        <v>300</v>
      </c>
      <c r="E177" s="95">
        <v>11</v>
      </c>
      <c r="F177" s="95">
        <v>51</v>
      </c>
      <c r="G177" s="94" t="s">
        <v>274</v>
      </c>
      <c r="H177" s="167">
        <v>154</v>
      </c>
      <c r="I177" s="96">
        <v>0</v>
      </c>
      <c r="J177" s="94" t="s">
        <v>268</v>
      </c>
    </row>
    <row r="178" spans="1:10" hidden="1" x14ac:dyDescent="0.2">
      <c r="A178" s="94" t="s">
        <v>265</v>
      </c>
      <c r="B178" s="95">
        <v>2025</v>
      </c>
      <c r="C178" s="95">
        <v>38</v>
      </c>
      <c r="D178" s="94" t="s">
        <v>300</v>
      </c>
      <c r="E178" s="95">
        <v>11</v>
      </c>
      <c r="F178" s="95">
        <v>93</v>
      </c>
      <c r="G178" s="94" t="s">
        <v>275</v>
      </c>
      <c r="H178" s="167">
        <v>767.19</v>
      </c>
      <c r="I178" s="96">
        <v>0</v>
      </c>
      <c r="J178" s="94" t="s">
        <v>268</v>
      </c>
    </row>
    <row r="179" spans="1:10" hidden="1" x14ac:dyDescent="0.2">
      <c r="A179" s="94" t="s">
        <v>265</v>
      </c>
      <c r="B179" s="95">
        <v>2025</v>
      </c>
      <c r="C179" s="95">
        <v>41</v>
      </c>
      <c r="D179" s="94" t="s">
        <v>301</v>
      </c>
      <c r="E179" s="95">
        <v>11</v>
      </c>
      <c r="F179" s="95">
        <v>1</v>
      </c>
      <c r="G179" s="94" t="s">
        <v>267</v>
      </c>
      <c r="H179" s="167">
        <v>34664</v>
      </c>
      <c r="I179" s="96">
        <v>0</v>
      </c>
      <c r="J179" s="94" t="s">
        <v>268</v>
      </c>
    </row>
    <row r="180" spans="1:10" hidden="1" x14ac:dyDescent="0.2">
      <c r="A180" s="94" t="s">
        <v>265</v>
      </c>
      <c r="B180" s="95">
        <v>2025</v>
      </c>
      <c r="C180" s="95">
        <v>41</v>
      </c>
      <c r="D180" s="94" t="s">
        <v>301</v>
      </c>
      <c r="E180" s="95">
        <v>11</v>
      </c>
      <c r="F180" s="95">
        <v>3</v>
      </c>
      <c r="G180" s="94" t="s">
        <v>269</v>
      </c>
      <c r="H180" s="167">
        <v>229.99</v>
      </c>
      <c r="I180" s="96">
        <v>0</v>
      </c>
      <c r="J180" s="94" t="s">
        <v>268</v>
      </c>
    </row>
    <row r="181" spans="1:10" hidden="1" x14ac:dyDescent="0.2">
      <c r="A181" s="94" t="s">
        <v>265</v>
      </c>
      <c r="B181" s="95">
        <v>2025</v>
      </c>
      <c r="C181" s="95">
        <v>41</v>
      </c>
      <c r="D181" s="94" t="s">
        <v>301</v>
      </c>
      <c r="E181" s="95">
        <v>11</v>
      </c>
      <c r="F181" s="95">
        <v>4</v>
      </c>
      <c r="G181" s="94" t="s">
        <v>270</v>
      </c>
      <c r="H181" s="167">
        <v>315</v>
      </c>
      <c r="I181" s="96">
        <v>0</v>
      </c>
      <c r="J181" s="94" t="s">
        <v>268</v>
      </c>
    </row>
    <row r="182" spans="1:10" hidden="1" x14ac:dyDescent="0.2">
      <c r="A182" s="94" t="s">
        <v>265</v>
      </c>
      <c r="B182" s="95">
        <v>2025</v>
      </c>
      <c r="C182" s="95">
        <v>41</v>
      </c>
      <c r="D182" s="94" t="s">
        <v>301</v>
      </c>
      <c r="E182" s="95">
        <v>11</v>
      </c>
      <c r="F182" s="95">
        <v>6</v>
      </c>
      <c r="G182" s="94" t="s">
        <v>271</v>
      </c>
      <c r="H182" s="167">
        <v>14856</v>
      </c>
      <c r="I182" s="96">
        <v>0</v>
      </c>
      <c r="J182" s="94" t="s">
        <v>268</v>
      </c>
    </row>
    <row r="183" spans="1:10" hidden="1" x14ac:dyDescent="0.2">
      <c r="A183" s="94" t="s">
        <v>265</v>
      </c>
      <c r="B183" s="95">
        <v>2025</v>
      </c>
      <c r="C183" s="95">
        <v>41</v>
      </c>
      <c r="D183" s="94" t="s">
        <v>301</v>
      </c>
      <c r="E183" s="95">
        <v>11</v>
      </c>
      <c r="F183" s="95">
        <v>9</v>
      </c>
      <c r="G183" s="94" t="s">
        <v>302</v>
      </c>
      <c r="H183" s="167">
        <v>8254.6299999999992</v>
      </c>
      <c r="I183" s="96">
        <v>0</v>
      </c>
      <c r="J183" s="94" t="s">
        <v>268</v>
      </c>
    </row>
    <row r="184" spans="1:10" hidden="1" x14ac:dyDescent="0.2">
      <c r="A184" s="94" t="s">
        <v>265</v>
      </c>
      <c r="B184" s="95">
        <v>2025</v>
      </c>
      <c r="C184" s="95">
        <v>41</v>
      </c>
      <c r="D184" s="94" t="s">
        <v>301</v>
      </c>
      <c r="E184" s="95">
        <v>11</v>
      </c>
      <c r="F184" s="95">
        <v>14</v>
      </c>
      <c r="G184" s="94" t="s">
        <v>284</v>
      </c>
      <c r="H184" s="167">
        <v>28727</v>
      </c>
      <c r="I184" s="96">
        <v>0</v>
      </c>
      <c r="J184" s="94" t="s">
        <v>268</v>
      </c>
    </row>
    <row r="185" spans="1:10" hidden="1" x14ac:dyDescent="0.2">
      <c r="A185" s="94" t="s">
        <v>265</v>
      </c>
      <c r="B185" s="95">
        <v>2025</v>
      </c>
      <c r="C185" s="95">
        <v>41</v>
      </c>
      <c r="D185" s="94" t="s">
        <v>301</v>
      </c>
      <c r="E185" s="95">
        <v>11</v>
      </c>
      <c r="F185" s="95">
        <v>24</v>
      </c>
      <c r="G185" s="94" t="s">
        <v>272</v>
      </c>
      <c r="H185" s="167">
        <v>1000</v>
      </c>
      <c r="I185" s="96">
        <v>0</v>
      </c>
      <c r="J185" s="94" t="s">
        <v>268</v>
      </c>
    </row>
    <row r="186" spans="1:10" hidden="1" x14ac:dyDescent="0.2">
      <c r="A186" s="94" t="s">
        <v>265</v>
      </c>
      <c r="B186" s="95">
        <v>2025</v>
      </c>
      <c r="C186" s="95">
        <v>41</v>
      </c>
      <c r="D186" s="94" t="s">
        <v>301</v>
      </c>
      <c r="E186" s="95">
        <v>11</v>
      </c>
      <c r="F186" s="95">
        <v>25</v>
      </c>
      <c r="G186" s="94" t="s">
        <v>273</v>
      </c>
      <c r="H186" s="167">
        <v>154</v>
      </c>
      <c r="I186" s="96">
        <v>0</v>
      </c>
      <c r="J186" s="94" t="s">
        <v>268</v>
      </c>
    </row>
    <row r="187" spans="1:10" hidden="1" x14ac:dyDescent="0.2">
      <c r="A187" s="94" t="s">
        <v>265</v>
      </c>
      <c r="B187" s="95">
        <v>2025</v>
      </c>
      <c r="C187" s="95">
        <v>41</v>
      </c>
      <c r="D187" s="94" t="s">
        <v>301</v>
      </c>
      <c r="E187" s="95">
        <v>11</v>
      </c>
      <c r="F187" s="95">
        <v>51</v>
      </c>
      <c r="G187" s="94" t="s">
        <v>274</v>
      </c>
      <c r="H187" s="167">
        <v>154</v>
      </c>
      <c r="I187" s="96">
        <v>0</v>
      </c>
      <c r="J187" s="94" t="s">
        <v>268</v>
      </c>
    </row>
    <row r="188" spans="1:10" hidden="1" x14ac:dyDescent="0.2">
      <c r="A188" s="94" t="s">
        <v>265</v>
      </c>
      <c r="B188" s="95">
        <v>2025</v>
      </c>
      <c r="C188" s="95">
        <v>41</v>
      </c>
      <c r="D188" s="94" t="s">
        <v>301</v>
      </c>
      <c r="E188" s="95">
        <v>11</v>
      </c>
      <c r="F188" s="95">
        <v>93</v>
      </c>
      <c r="G188" s="94" t="s">
        <v>275</v>
      </c>
      <c r="H188" s="167">
        <v>1172.07</v>
      </c>
      <c r="I188" s="96">
        <v>0</v>
      </c>
      <c r="J188" s="94" t="s">
        <v>268</v>
      </c>
    </row>
    <row r="189" spans="1:10" hidden="1" x14ac:dyDescent="0.2">
      <c r="A189" s="94" t="s">
        <v>265</v>
      </c>
      <c r="B189" s="95">
        <v>2025</v>
      </c>
      <c r="C189" s="95">
        <v>42</v>
      </c>
      <c r="D189" s="94" t="s">
        <v>303</v>
      </c>
      <c r="E189" s="95">
        <v>11</v>
      </c>
      <c r="F189" s="95">
        <v>1</v>
      </c>
      <c r="G189" s="94" t="s">
        <v>267</v>
      </c>
      <c r="H189" s="167">
        <v>31185</v>
      </c>
      <c r="I189" s="96">
        <v>0</v>
      </c>
      <c r="J189" s="94" t="s">
        <v>268</v>
      </c>
    </row>
    <row r="190" spans="1:10" hidden="1" x14ac:dyDescent="0.2">
      <c r="A190" s="94" t="s">
        <v>265</v>
      </c>
      <c r="B190" s="95">
        <v>2025</v>
      </c>
      <c r="C190" s="95">
        <v>42</v>
      </c>
      <c r="D190" s="94" t="s">
        <v>303</v>
      </c>
      <c r="E190" s="95">
        <v>11</v>
      </c>
      <c r="F190" s="95">
        <v>3</v>
      </c>
      <c r="G190" s="94" t="s">
        <v>269</v>
      </c>
      <c r="H190" s="167">
        <v>303.99</v>
      </c>
      <c r="I190" s="96">
        <v>0</v>
      </c>
      <c r="J190" s="94" t="s">
        <v>268</v>
      </c>
    </row>
    <row r="191" spans="1:10" hidden="1" x14ac:dyDescent="0.2">
      <c r="A191" s="94" t="s">
        <v>265</v>
      </c>
      <c r="B191" s="95">
        <v>2025</v>
      </c>
      <c r="C191" s="95">
        <v>42</v>
      </c>
      <c r="D191" s="94" t="s">
        <v>303</v>
      </c>
      <c r="E191" s="95">
        <v>11</v>
      </c>
      <c r="F191" s="95">
        <v>4</v>
      </c>
      <c r="G191" s="94" t="s">
        <v>270</v>
      </c>
      <c r="H191" s="167">
        <v>315</v>
      </c>
      <c r="I191" s="96">
        <v>0</v>
      </c>
      <c r="J191" s="94" t="s">
        <v>268</v>
      </c>
    </row>
    <row r="192" spans="1:10" hidden="1" x14ac:dyDescent="0.2">
      <c r="A192" s="94" t="s">
        <v>265</v>
      </c>
      <c r="B192" s="95">
        <v>2025</v>
      </c>
      <c r="C192" s="95">
        <v>42</v>
      </c>
      <c r="D192" s="94" t="s">
        <v>303</v>
      </c>
      <c r="E192" s="95">
        <v>11</v>
      </c>
      <c r="F192" s="95">
        <v>6</v>
      </c>
      <c r="G192" s="94" t="s">
        <v>271</v>
      </c>
      <c r="H192" s="167">
        <v>13365</v>
      </c>
      <c r="I192" s="96">
        <v>0</v>
      </c>
      <c r="J192" s="94" t="s">
        <v>268</v>
      </c>
    </row>
    <row r="193" spans="1:10" hidden="1" x14ac:dyDescent="0.2">
      <c r="A193" s="94" t="s">
        <v>265</v>
      </c>
      <c r="B193" s="95">
        <v>2025</v>
      </c>
      <c r="C193" s="95">
        <v>42</v>
      </c>
      <c r="D193" s="94" t="s">
        <v>303</v>
      </c>
      <c r="E193" s="95">
        <v>11</v>
      </c>
      <c r="F193" s="95">
        <v>24</v>
      </c>
      <c r="G193" s="94" t="s">
        <v>272</v>
      </c>
      <c r="H193" s="167">
        <v>1000</v>
      </c>
      <c r="I193" s="96">
        <v>0</v>
      </c>
      <c r="J193" s="94" t="s">
        <v>268</v>
      </c>
    </row>
    <row r="194" spans="1:10" hidden="1" x14ac:dyDescent="0.2">
      <c r="A194" s="94" t="s">
        <v>265</v>
      </c>
      <c r="B194" s="95">
        <v>2025</v>
      </c>
      <c r="C194" s="95">
        <v>42</v>
      </c>
      <c r="D194" s="94" t="s">
        <v>303</v>
      </c>
      <c r="E194" s="95">
        <v>11</v>
      </c>
      <c r="F194" s="95">
        <v>25</v>
      </c>
      <c r="G194" s="94" t="s">
        <v>273</v>
      </c>
      <c r="H194" s="167">
        <v>253.97</v>
      </c>
      <c r="I194" s="96">
        <v>0</v>
      </c>
      <c r="J194" s="94" t="s">
        <v>268</v>
      </c>
    </row>
    <row r="195" spans="1:10" hidden="1" x14ac:dyDescent="0.2">
      <c r="A195" s="94" t="s">
        <v>265</v>
      </c>
      <c r="B195" s="95">
        <v>2025</v>
      </c>
      <c r="C195" s="95">
        <v>42</v>
      </c>
      <c r="D195" s="94" t="s">
        <v>303</v>
      </c>
      <c r="E195" s="95">
        <v>11</v>
      </c>
      <c r="F195" s="95">
        <v>51</v>
      </c>
      <c r="G195" s="94" t="s">
        <v>274</v>
      </c>
      <c r="H195" s="167">
        <v>154</v>
      </c>
      <c r="I195" s="96">
        <v>0</v>
      </c>
      <c r="J195" s="94" t="s">
        <v>268</v>
      </c>
    </row>
    <row r="196" spans="1:10" hidden="1" x14ac:dyDescent="0.2">
      <c r="A196" s="94" t="s">
        <v>265</v>
      </c>
      <c r="B196" s="95">
        <v>2025</v>
      </c>
      <c r="C196" s="95">
        <v>42</v>
      </c>
      <c r="D196" s="94" t="s">
        <v>303</v>
      </c>
      <c r="E196" s="95">
        <v>11</v>
      </c>
      <c r="F196" s="95">
        <v>93</v>
      </c>
      <c r="G196" s="94" t="s">
        <v>275</v>
      </c>
      <c r="H196" s="167">
        <v>399</v>
      </c>
      <c r="I196" s="96">
        <v>0</v>
      </c>
      <c r="J196" s="94" t="s">
        <v>268</v>
      </c>
    </row>
    <row r="197" spans="1:10" hidden="1" x14ac:dyDescent="0.2">
      <c r="A197" s="94" t="s">
        <v>265</v>
      </c>
      <c r="B197" s="95">
        <v>2025</v>
      </c>
      <c r="C197" s="95">
        <v>43</v>
      </c>
      <c r="D197" s="94" t="s">
        <v>304</v>
      </c>
      <c r="E197" s="95">
        <v>11</v>
      </c>
      <c r="F197" s="95">
        <v>1</v>
      </c>
      <c r="G197" s="94" t="s">
        <v>267</v>
      </c>
      <c r="H197" s="167">
        <v>24845.919999999998</v>
      </c>
      <c r="I197" s="96">
        <v>0</v>
      </c>
      <c r="J197" s="94" t="s">
        <v>268</v>
      </c>
    </row>
    <row r="198" spans="1:10" hidden="1" x14ac:dyDescent="0.2">
      <c r="A198" s="94" t="s">
        <v>265</v>
      </c>
      <c r="B198" s="95">
        <v>2025</v>
      </c>
      <c r="C198" s="95">
        <v>43</v>
      </c>
      <c r="D198" s="94" t="s">
        <v>304</v>
      </c>
      <c r="E198" s="95">
        <v>11</v>
      </c>
      <c r="F198" s="95">
        <v>3</v>
      </c>
      <c r="G198" s="94" t="s">
        <v>269</v>
      </c>
      <c r="H198" s="167">
        <v>283.02</v>
      </c>
      <c r="I198" s="96">
        <v>0</v>
      </c>
      <c r="J198" s="94" t="s">
        <v>268</v>
      </c>
    </row>
    <row r="199" spans="1:10" hidden="1" x14ac:dyDescent="0.2">
      <c r="A199" s="94" t="s">
        <v>265</v>
      </c>
      <c r="B199" s="95">
        <v>2025</v>
      </c>
      <c r="C199" s="95">
        <v>43</v>
      </c>
      <c r="D199" s="94" t="s">
        <v>304</v>
      </c>
      <c r="E199" s="95">
        <v>11</v>
      </c>
      <c r="F199" s="95">
        <v>4</v>
      </c>
      <c r="G199" s="94" t="s">
        <v>270</v>
      </c>
      <c r="H199" s="167">
        <v>315</v>
      </c>
      <c r="I199" s="96">
        <v>0</v>
      </c>
      <c r="J199" s="94" t="s">
        <v>268</v>
      </c>
    </row>
    <row r="200" spans="1:10" hidden="1" x14ac:dyDescent="0.2">
      <c r="A200" s="94" t="s">
        <v>265</v>
      </c>
      <c r="B200" s="95">
        <v>2025</v>
      </c>
      <c r="C200" s="95">
        <v>43</v>
      </c>
      <c r="D200" s="94" t="s">
        <v>304</v>
      </c>
      <c r="E200" s="95">
        <v>11</v>
      </c>
      <c r="F200" s="95">
        <v>6</v>
      </c>
      <c r="G200" s="94" t="s">
        <v>271</v>
      </c>
      <c r="H200" s="167">
        <v>10648.25</v>
      </c>
      <c r="I200" s="96">
        <v>0</v>
      </c>
      <c r="J200" s="94" t="s">
        <v>268</v>
      </c>
    </row>
    <row r="201" spans="1:10" hidden="1" x14ac:dyDescent="0.2">
      <c r="A201" s="94" t="s">
        <v>265</v>
      </c>
      <c r="B201" s="95">
        <v>2025</v>
      </c>
      <c r="C201" s="95">
        <v>43</v>
      </c>
      <c r="D201" s="94" t="s">
        <v>304</v>
      </c>
      <c r="E201" s="95">
        <v>11</v>
      </c>
      <c r="F201" s="95">
        <v>24</v>
      </c>
      <c r="G201" s="94" t="s">
        <v>272</v>
      </c>
      <c r="H201" s="167">
        <v>1000</v>
      </c>
      <c r="I201" s="96">
        <v>0</v>
      </c>
      <c r="J201" s="94" t="s">
        <v>268</v>
      </c>
    </row>
    <row r="202" spans="1:10" hidden="1" x14ac:dyDescent="0.2">
      <c r="A202" s="94" t="s">
        <v>265</v>
      </c>
      <c r="B202" s="95">
        <v>2025</v>
      </c>
      <c r="C202" s="95">
        <v>43</v>
      </c>
      <c r="D202" s="94" t="s">
        <v>304</v>
      </c>
      <c r="E202" s="95">
        <v>11</v>
      </c>
      <c r="F202" s="95">
        <v>25</v>
      </c>
      <c r="G202" s="94" t="s">
        <v>273</v>
      </c>
      <c r="H202" s="167">
        <v>221.47</v>
      </c>
      <c r="I202" s="96">
        <v>0</v>
      </c>
      <c r="J202" s="94" t="s">
        <v>268</v>
      </c>
    </row>
    <row r="203" spans="1:10" hidden="1" x14ac:dyDescent="0.2">
      <c r="A203" s="94" t="s">
        <v>265</v>
      </c>
      <c r="B203" s="95">
        <v>2025</v>
      </c>
      <c r="C203" s="95">
        <v>43</v>
      </c>
      <c r="D203" s="94" t="s">
        <v>304</v>
      </c>
      <c r="E203" s="95">
        <v>11</v>
      </c>
      <c r="F203" s="95">
        <v>51</v>
      </c>
      <c r="G203" s="94" t="s">
        <v>274</v>
      </c>
      <c r="H203" s="167">
        <v>154</v>
      </c>
      <c r="I203" s="96">
        <v>0</v>
      </c>
      <c r="J203" s="94" t="s">
        <v>268</v>
      </c>
    </row>
    <row r="204" spans="1:10" hidden="1" x14ac:dyDescent="0.2">
      <c r="A204" s="94" t="s">
        <v>265</v>
      </c>
      <c r="B204" s="95">
        <v>2025</v>
      </c>
      <c r="C204" s="95">
        <v>45</v>
      </c>
      <c r="D204" s="94" t="s">
        <v>305</v>
      </c>
      <c r="E204" s="95">
        <v>11</v>
      </c>
      <c r="F204" s="95">
        <v>1</v>
      </c>
      <c r="G204" s="94" t="s">
        <v>267</v>
      </c>
      <c r="H204" s="167">
        <v>28532.29</v>
      </c>
      <c r="I204" s="96">
        <v>0</v>
      </c>
      <c r="J204" s="94" t="s">
        <v>268</v>
      </c>
    </row>
    <row r="205" spans="1:10" hidden="1" x14ac:dyDescent="0.2">
      <c r="A205" s="94" t="s">
        <v>265</v>
      </c>
      <c r="B205" s="95">
        <v>2025</v>
      </c>
      <c r="C205" s="95">
        <v>45</v>
      </c>
      <c r="D205" s="94" t="s">
        <v>305</v>
      </c>
      <c r="E205" s="95">
        <v>11</v>
      </c>
      <c r="F205" s="95">
        <v>3</v>
      </c>
      <c r="G205" s="94" t="s">
        <v>269</v>
      </c>
      <c r="H205" s="167">
        <v>303.98</v>
      </c>
      <c r="I205" s="96">
        <v>0</v>
      </c>
      <c r="J205" s="94" t="s">
        <v>268</v>
      </c>
    </row>
    <row r="206" spans="1:10" hidden="1" x14ac:dyDescent="0.2">
      <c r="A206" s="94" t="s">
        <v>265</v>
      </c>
      <c r="B206" s="95">
        <v>2025</v>
      </c>
      <c r="C206" s="95">
        <v>45</v>
      </c>
      <c r="D206" s="94" t="s">
        <v>305</v>
      </c>
      <c r="E206" s="95">
        <v>11</v>
      </c>
      <c r="F206" s="95">
        <v>4</v>
      </c>
      <c r="G206" s="94" t="s">
        <v>270</v>
      </c>
      <c r="H206" s="167">
        <v>315</v>
      </c>
      <c r="I206" s="96">
        <v>0</v>
      </c>
      <c r="J206" s="94" t="s">
        <v>268</v>
      </c>
    </row>
    <row r="207" spans="1:10" hidden="1" x14ac:dyDescent="0.2">
      <c r="A207" s="94" t="s">
        <v>265</v>
      </c>
      <c r="B207" s="95">
        <v>2025</v>
      </c>
      <c r="C207" s="95">
        <v>45</v>
      </c>
      <c r="D207" s="94" t="s">
        <v>305</v>
      </c>
      <c r="E207" s="95">
        <v>11</v>
      </c>
      <c r="F207" s="95">
        <v>6</v>
      </c>
      <c r="G207" s="94" t="s">
        <v>271</v>
      </c>
      <c r="H207" s="167">
        <v>12228.12</v>
      </c>
      <c r="I207" s="96">
        <v>0</v>
      </c>
      <c r="J207" s="94" t="s">
        <v>268</v>
      </c>
    </row>
    <row r="208" spans="1:10" x14ac:dyDescent="0.2">
      <c r="A208" s="94" t="s">
        <v>265</v>
      </c>
      <c r="B208" s="95">
        <v>2025</v>
      </c>
      <c r="C208" s="95">
        <v>45</v>
      </c>
      <c r="D208" s="94" t="s">
        <v>305</v>
      </c>
      <c r="E208" s="95">
        <v>11</v>
      </c>
      <c r="F208" s="95">
        <v>15</v>
      </c>
      <c r="G208" s="94" t="s">
        <v>281</v>
      </c>
      <c r="H208" s="167">
        <v>70072.33</v>
      </c>
      <c r="I208" s="96">
        <v>0</v>
      </c>
      <c r="J208" s="94" t="s">
        <v>268</v>
      </c>
    </row>
    <row r="209" spans="1:10" hidden="1" x14ac:dyDescent="0.2">
      <c r="A209" s="94" t="s">
        <v>265</v>
      </c>
      <c r="B209" s="95">
        <v>2025</v>
      </c>
      <c r="C209" s="95">
        <v>45</v>
      </c>
      <c r="D209" s="94" t="s">
        <v>305</v>
      </c>
      <c r="E209" s="95">
        <v>11</v>
      </c>
      <c r="F209" s="95">
        <v>24</v>
      </c>
      <c r="G209" s="94" t="s">
        <v>272</v>
      </c>
      <c r="H209" s="167">
        <v>1000</v>
      </c>
      <c r="I209" s="96">
        <v>0</v>
      </c>
      <c r="J209" s="94" t="s">
        <v>268</v>
      </c>
    </row>
    <row r="210" spans="1:10" hidden="1" x14ac:dyDescent="0.2">
      <c r="A210" s="94" t="s">
        <v>265</v>
      </c>
      <c r="B210" s="95">
        <v>2025</v>
      </c>
      <c r="C210" s="95">
        <v>45</v>
      </c>
      <c r="D210" s="94" t="s">
        <v>305</v>
      </c>
      <c r="E210" s="95">
        <v>11</v>
      </c>
      <c r="F210" s="95">
        <v>25</v>
      </c>
      <c r="G210" s="94" t="s">
        <v>273</v>
      </c>
      <c r="H210" s="167">
        <v>251.97</v>
      </c>
      <c r="I210" s="96">
        <v>0</v>
      </c>
      <c r="J210" s="94" t="s">
        <v>268</v>
      </c>
    </row>
    <row r="211" spans="1:10" hidden="1" x14ac:dyDescent="0.2">
      <c r="A211" s="94" t="s">
        <v>265</v>
      </c>
      <c r="B211" s="95">
        <v>2025</v>
      </c>
      <c r="C211" s="95">
        <v>45</v>
      </c>
      <c r="D211" s="94" t="s">
        <v>305</v>
      </c>
      <c r="E211" s="95">
        <v>11</v>
      </c>
      <c r="F211" s="95">
        <v>51</v>
      </c>
      <c r="G211" s="94" t="s">
        <v>274</v>
      </c>
      <c r="H211" s="167">
        <v>154</v>
      </c>
      <c r="I211" s="96">
        <v>0</v>
      </c>
      <c r="J211" s="94" t="s">
        <v>268</v>
      </c>
    </row>
    <row r="212" spans="1:10" x14ac:dyDescent="0.2">
      <c r="A212" s="94" t="s">
        <v>265</v>
      </c>
      <c r="B212" s="95">
        <v>2025</v>
      </c>
      <c r="C212" s="95">
        <v>45</v>
      </c>
      <c r="D212" s="94" t="s">
        <v>305</v>
      </c>
      <c r="E212" s="95">
        <v>11</v>
      </c>
      <c r="F212" s="95">
        <v>62</v>
      </c>
      <c r="G212" s="94" t="s">
        <v>282</v>
      </c>
      <c r="H212" s="167">
        <v>30049.01</v>
      </c>
      <c r="I212" s="96">
        <v>0</v>
      </c>
      <c r="J212" s="94" t="s">
        <v>268</v>
      </c>
    </row>
    <row r="213" spans="1:10" hidden="1" x14ac:dyDescent="0.2">
      <c r="A213" s="94" t="s">
        <v>265</v>
      </c>
      <c r="B213" s="95">
        <v>2025</v>
      </c>
      <c r="C213" s="95">
        <v>47</v>
      </c>
      <c r="D213" s="94" t="s">
        <v>306</v>
      </c>
      <c r="E213" s="95">
        <v>11</v>
      </c>
      <c r="F213" s="95">
        <v>1</v>
      </c>
      <c r="G213" s="94" t="s">
        <v>267</v>
      </c>
      <c r="H213" s="167">
        <v>30852.5</v>
      </c>
      <c r="I213" s="96">
        <v>0</v>
      </c>
      <c r="J213" s="94" t="s">
        <v>268</v>
      </c>
    </row>
    <row r="214" spans="1:10" hidden="1" x14ac:dyDescent="0.2">
      <c r="A214" s="94" t="s">
        <v>265</v>
      </c>
      <c r="B214" s="95">
        <v>2025</v>
      </c>
      <c r="C214" s="95">
        <v>47</v>
      </c>
      <c r="D214" s="94" t="s">
        <v>306</v>
      </c>
      <c r="E214" s="95">
        <v>11</v>
      </c>
      <c r="F214" s="95">
        <v>3</v>
      </c>
      <c r="G214" s="94" t="s">
        <v>269</v>
      </c>
      <c r="H214" s="167">
        <v>304.05</v>
      </c>
      <c r="I214" s="96">
        <v>0</v>
      </c>
      <c r="J214" s="94" t="s">
        <v>268</v>
      </c>
    </row>
    <row r="215" spans="1:10" hidden="1" x14ac:dyDescent="0.2">
      <c r="A215" s="94" t="s">
        <v>265</v>
      </c>
      <c r="B215" s="95">
        <v>2025</v>
      </c>
      <c r="C215" s="95">
        <v>47</v>
      </c>
      <c r="D215" s="94" t="s">
        <v>306</v>
      </c>
      <c r="E215" s="95">
        <v>11</v>
      </c>
      <c r="F215" s="95">
        <v>4</v>
      </c>
      <c r="G215" s="94" t="s">
        <v>270</v>
      </c>
      <c r="H215" s="167">
        <v>315</v>
      </c>
      <c r="I215" s="96">
        <v>0</v>
      </c>
      <c r="J215" s="94" t="s">
        <v>268</v>
      </c>
    </row>
    <row r="216" spans="1:10" hidden="1" x14ac:dyDescent="0.2">
      <c r="A216" s="94" t="s">
        <v>265</v>
      </c>
      <c r="B216" s="95">
        <v>2025</v>
      </c>
      <c r="C216" s="95">
        <v>47</v>
      </c>
      <c r="D216" s="94" t="s">
        <v>306</v>
      </c>
      <c r="E216" s="95">
        <v>11</v>
      </c>
      <c r="F216" s="95">
        <v>6</v>
      </c>
      <c r="G216" s="94" t="s">
        <v>271</v>
      </c>
      <c r="H216" s="167">
        <v>13222.5</v>
      </c>
      <c r="I216" s="96">
        <v>0</v>
      </c>
      <c r="J216" s="94" t="s">
        <v>268</v>
      </c>
    </row>
    <row r="217" spans="1:10" hidden="1" x14ac:dyDescent="0.2">
      <c r="A217" s="94" t="s">
        <v>265</v>
      </c>
      <c r="B217" s="95">
        <v>2025</v>
      </c>
      <c r="C217" s="95">
        <v>47</v>
      </c>
      <c r="D217" s="94" t="s">
        <v>306</v>
      </c>
      <c r="E217" s="95">
        <v>11</v>
      </c>
      <c r="F217" s="95">
        <v>14</v>
      </c>
      <c r="G217" s="94" t="s">
        <v>284</v>
      </c>
      <c r="H217" s="167">
        <v>25349</v>
      </c>
      <c r="I217" s="96">
        <v>0</v>
      </c>
      <c r="J217" s="94" t="s">
        <v>268</v>
      </c>
    </row>
    <row r="218" spans="1:10" x14ac:dyDescent="0.2">
      <c r="A218" s="94" t="s">
        <v>265</v>
      </c>
      <c r="B218" s="95">
        <v>2025</v>
      </c>
      <c r="C218" s="95">
        <v>47</v>
      </c>
      <c r="D218" s="94" t="s">
        <v>306</v>
      </c>
      <c r="E218" s="95">
        <v>11</v>
      </c>
      <c r="F218" s="95">
        <v>15</v>
      </c>
      <c r="G218" s="94" t="s">
        <v>281</v>
      </c>
      <c r="H218" s="167">
        <v>126483.34</v>
      </c>
      <c r="I218" s="96">
        <v>0</v>
      </c>
      <c r="J218" s="94" t="s">
        <v>268</v>
      </c>
    </row>
    <row r="219" spans="1:10" hidden="1" x14ac:dyDescent="0.2">
      <c r="A219" s="94" t="s">
        <v>265</v>
      </c>
      <c r="B219" s="95">
        <v>2025</v>
      </c>
      <c r="C219" s="95">
        <v>47</v>
      </c>
      <c r="D219" s="94" t="s">
        <v>306</v>
      </c>
      <c r="E219" s="95">
        <v>11</v>
      </c>
      <c r="F219" s="95">
        <v>24</v>
      </c>
      <c r="G219" s="94" t="s">
        <v>272</v>
      </c>
      <c r="H219" s="167">
        <v>1000</v>
      </c>
      <c r="I219" s="96">
        <v>0</v>
      </c>
      <c r="J219" s="94" t="s">
        <v>268</v>
      </c>
    </row>
    <row r="220" spans="1:10" hidden="1" x14ac:dyDescent="0.2">
      <c r="A220" s="94" t="s">
        <v>265</v>
      </c>
      <c r="B220" s="95">
        <v>2025</v>
      </c>
      <c r="C220" s="95">
        <v>47</v>
      </c>
      <c r="D220" s="94" t="s">
        <v>306</v>
      </c>
      <c r="E220" s="95">
        <v>11</v>
      </c>
      <c r="F220" s="95">
        <v>25</v>
      </c>
      <c r="G220" s="94" t="s">
        <v>273</v>
      </c>
      <c r="H220" s="167">
        <v>251.99</v>
      </c>
      <c r="I220" s="96">
        <v>0</v>
      </c>
      <c r="J220" s="94" t="s">
        <v>268</v>
      </c>
    </row>
    <row r="221" spans="1:10" hidden="1" x14ac:dyDescent="0.2">
      <c r="A221" s="94" t="s">
        <v>265</v>
      </c>
      <c r="B221" s="95">
        <v>2025</v>
      </c>
      <c r="C221" s="95">
        <v>47</v>
      </c>
      <c r="D221" s="94" t="s">
        <v>306</v>
      </c>
      <c r="E221" s="95">
        <v>11</v>
      </c>
      <c r="F221" s="95">
        <v>51</v>
      </c>
      <c r="G221" s="94" t="s">
        <v>274</v>
      </c>
      <c r="H221" s="167">
        <v>154</v>
      </c>
      <c r="I221" s="96">
        <v>0</v>
      </c>
      <c r="J221" s="94" t="s">
        <v>268</v>
      </c>
    </row>
    <row r="222" spans="1:10" x14ac:dyDescent="0.2">
      <c r="A222" s="94" t="s">
        <v>265</v>
      </c>
      <c r="B222" s="95">
        <v>2025</v>
      </c>
      <c r="C222" s="95">
        <v>47</v>
      </c>
      <c r="D222" s="94" t="s">
        <v>306</v>
      </c>
      <c r="E222" s="95">
        <v>11</v>
      </c>
      <c r="F222" s="95">
        <v>62</v>
      </c>
      <c r="G222" s="94" t="s">
        <v>282</v>
      </c>
      <c r="H222" s="167">
        <v>71003.3</v>
      </c>
      <c r="I222" s="96">
        <v>0</v>
      </c>
      <c r="J222" s="94" t="s">
        <v>268</v>
      </c>
    </row>
    <row r="223" spans="1:10" hidden="1" x14ac:dyDescent="0.2">
      <c r="A223" s="94" t="s">
        <v>265</v>
      </c>
      <c r="B223" s="95">
        <v>2025</v>
      </c>
      <c r="C223" s="95">
        <v>47</v>
      </c>
      <c r="D223" s="94" t="s">
        <v>306</v>
      </c>
      <c r="E223" s="95">
        <v>11</v>
      </c>
      <c r="F223" s="95">
        <v>93</v>
      </c>
      <c r="G223" s="94" t="s">
        <v>275</v>
      </c>
      <c r="H223" s="167">
        <v>368.13</v>
      </c>
      <c r="I223" s="96">
        <v>0</v>
      </c>
      <c r="J223" s="94" t="s">
        <v>268</v>
      </c>
    </row>
    <row r="224" spans="1:10" hidden="1" x14ac:dyDescent="0.2">
      <c r="A224" s="94" t="s">
        <v>265</v>
      </c>
      <c r="B224" s="95">
        <v>2025</v>
      </c>
      <c r="C224" s="95">
        <v>53</v>
      </c>
      <c r="D224" s="94" t="s">
        <v>307</v>
      </c>
      <c r="E224" s="95">
        <v>11</v>
      </c>
      <c r="F224" s="95">
        <v>1</v>
      </c>
      <c r="G224" s="94" t="s">
        <v>267</v>
      </c>
      <c r="H224" s="167">
        <v>29049.88</v>
      </c>
      <c r="I224" s="96">
        <v>0</v>
      </c>
      <c r="J224" s="94" t="s">
        <v>268</v>
      </c>
    </row>
    <row r="225" spans="1:10" hidden="1" x14ac:dyDescent="0.2">
      <c r="A225" s="94" t="s">
        <v>265</v>
      </c>
      <c r="B225" s="95">
        <v>2025</v>
      </c>
      <c r="C225" s="95">
        <v>53</v>
      </c>
      <c r="D225" s="94" t="s">
        <v>307</v>
      </c>
      <c r="E225" s="95">
        <v>11</v>
      </c>
      <c r="F225" s="95">
        <v>3</v>
      </c>
      <c r="G225" s="94" t="s">
        <v>269</v>
      </c>
      <c r="H225" s="167">
        <v>303.97000000000003</v>
      </c>
      <c r="I225" s="96">
        <v>0</v>
      </c>
      <c r="J225" s="94" t="s">
        <v>268</v>
      </c>
    </row>
    <row r="226" spans="1:10" hidden="1" x14ac:dyDescent="0.2">
      <c r="A226" s="94" t="s">
        <v>265</v>
      </c>
      <c r="B226" s="95">
        <v>2025</v>
      </c>
      <c r="C226" s="95">
        <v>53</v>
      </c>
      <c r="D226" s="94" t="s">
        <v>307</v>
      </c>
      <c r="E226" s="95">
        <v>11</v>
      </c>
      <c r="F226" s="95">
        <v>4</v>
      </c>
      <c r="G226" s="94" t="s">
        <v>270</v>
      </c>
      <c r="H226" s="167">
        <v>315</v>
      </c>
      <c r="I226" s="96">
        <v>0</v>
      </c>
      <c r="J226" s="94" t="s">
        <v>268</v>
      </c>
    </row>
    <row r="227" spans="1:10" hidden="1" x14ac:dyDescent="0.2">
      <c r="A227" s="94" t="s">
        <v>265</v>
      </c>
      <c r="B227" s="95">
        <v>2025</v>
      </c>
      <c r="C227" s="95">
        <v>53</v>
      </c>
      <c r="D227" s="94" t="s">
        <v>307</v>
      </c>
      <c r="E227" s="95">
        <v>11</v>
      </c>
      <c r="F227" s="95">
        <v>6</v>
      </c>
      <c r="G227" s="94" t="s">
        <v>271</v>
      </c>
      <c r="H227" s="167">
        <v>12449.95</v>
      </c>
      <c r="I227" s="96">
        <v>0</v>
      </c>
      <c r="J227" s="94" t="s">
        <v>268</v>
      </c>
    </row>
    <row r="228" spans="1:10" hidden="1" x14ac:dyDescent="0.2">
      <c r="A228" s="94" t="s">
        <v>265</v>
      </c>
      <c r="B228" s="95">
        <v>2025</v>
      </c>
      <c r="C228" s="95">
        <v>53</v>
      </c>
      <c r="D228" s="94" t="s">
        <v>307</v>
      </c>
      <c r="E228" s="95">
        <v>11</v>
      </c>
      <c r="F228" s="95">
        <v>24</v>
      </c>
      <c r="G228" s="94" t="s">
        <v>272</v>
      </c>
      <c r="H228" s="167">
        <v>999.71</v>
      </c>
      <c r="I228" s="96">
        <v>0</v>
      </c>
      <c r="J228" s="94" t="s">
        <v>268</v>
      </c>
    </row>
    <row r="229" spans="1:10" hidden="1" x14ac:dyDescent="0.2">
      <c r="A229" s="94" t="s">
        <v>265</v>
      </c>
      <c r="B229" s="95">
        <v>2025</v>
      </c>
      <c r="C229" s="95">
        <v>53</v>
      </c>
      <c r="D229" s="94" t="s">
        <v>307</v>
      </c>
      <c r="E229" s="95">
        <v>11</v>
      </c>
      <c r="F229" s="95">
        <v>25</v>
      </c>
      <c r="G229" s="94" t="s">
        <v>273</v>
      </c>
      <c r="H229" s="167">
        <v>254.04</v>
      </c>
      <c r="I229" s="96">
        <v>0</v>
      </c>
      <c r="J229" s="94" t="s">
        <v>268</v>
      </c>
    </row>
    <row r="230" spans="1:10" hidden="1" x14ac:dyDescent="0.2">
      <c r="A230" s="94" t="s">
        <v>265</v>
      </c>
      <c r="B230" s="95">
        <v>2025</v>
      </c>
      <c r="C230" s="95">
        <v>53</v>
      </c>
      <c r="D230" s="94" t="s">
        <v>307</v>
      </c>
      <c r="E230" s="95">
        <v>11</v>
      </c>
      <c r="F230" s="95">
        <v>51</v>
      </c>
      <c r="G230" s="94" t="s">
        <v>274</v>
      </c>
      <c r="H230" s="167">
        <v>154</v>
      </c>
      <c r="I230" s="96">
        <v>0</v>
      </c>
      <c r="J230" s="94" t="s">
        <v>268</v>
      </c>
    </row>
    <row r="231" spans="1:10" hidden="1" x14ac:dyDescent="0.2">
      <c r="A231" s="94" t="s">
        <v>265</v>
      </c>
      <c r="B231" s="95">
        <v>2025</v>
      </c>
      <c r="C231" s="95">
        <v>53</v>
      </c>
      <c r="D231" s="94" t="s">
        <v>307</v>
      </c>
      <c r="E231" s="95">
        <v>11</v>
      </c>
      <c r="F231" s="95">
        <v>93</v>
      </c>
      <c r="G231" s="94" t="s">
        <v>275</v>
      </c>
      <c r="H231" s="167">
        <v>200.74</v>
      </c>
      <c r="I231" s="96">
        <v>0</v>
      </c>
      <c r="J231" s="94" t="s">
        <v>268</v>
      </c>
    </row>
    <row r="232" spans="1:10" hidden="1" x14ac:dyDescent="0.2">
      <c r="A232" s="94" t="s">
        <v>265</v>
      </c>
      <c r="B232" s="95">
        <v>2025</v>
      </c>
      <c r="C232" s="95">
        <v>54</v>
      </c>
      <c r="D232" s="94" t="s">
        <v>308</v>
      </c>
      <c r="E232" s="95">
        <v>11</v>
      </c>
      <c r="F232" s="95">
        <v>1</v>
      </c>
      <c r="G232" s="94" t="s">
        <v>267</v>
      </c>
      <c r="H232" s="167">
        <v>45793.42</v>
      </c>
      <c r="I232" s="96">
        <v>0</v>
      </c>
      <c r="J232" s="94" t="s">
        <v>268</v>
      </c>
    </row>
    <row r="233" spans="1:10" hidden="1" x14ac:dyDescent="0.2">
      <c r="A233" s="94" t="s">
        <v>265</v>
      </c>
      <c r="B233" s="95">
        <v>2025</v>
      </c>
      <c r="C233" s="95">
        <v>54</v>
      </c>
      <c r="D233" s="94" t="s">
        <v>308</v>
      </c>
      <c r="E233" s="95">
        <v>11</v>
      </c>
      <c r="F233" s="95">
        <v>3</v>
      </c>
      <c r="G233" s="94" t="s">
        <v>269</v>
      </c>
      <c r="H233" s="167">
        <v>230</v>
      </c>
      <c r="I233" s="96">
        <v>0</v>
      </c>
      <c r="J233" s="94" t="s">
        <v>268</v>
      </c>
    </row>
    <row r="234" spans="1:10" hidden="1" x14ac:dyDescent="0.2">
      <c r="A234" s="94" t="s">
        <v>265</v>
      </c>
      <c r="B234" s="95">
        <v>2025</v>
      </c>
      <c r="C234" s="95">
        <v>54</v>
      </c>
      <c r="D234" s="94" t="s">
        <v>308</v>
      </c>
      <c r="E234" s="95">
        <v>11</v>
      </c>
      <c r="F234" s="95">
        <v>4</v>
      </c>
      <c r="G234" s="94" t="s">
        <v>270</v>
      </c>
      <c r="H234" s="167">
        <v>315</v>
      </c>
      <c r="I234" s="96">
        <v>0</v>
      </c>
      <c r="J234" s="94" t="s">
        <v>268</v>
      </c>
    </row>
    <row r="235" spans="1:10" hidden="1" x14ac:dyDescent="0.2">
      <c r="A235" s="94" t="s">
        <v>265</v>
      </c>
      <c r="B235" s="95">
        <v>2025</v>
      </c>
      <c r="C235" s="95">
        <v>54</v>
      </c>
      <c r="D235" s="94" t="s">
        <v>308</v>
      </c>
      <c r="E235" s="95">
        <v>11</v>
      </c>
      <c r="F235" s="95">
        <v>6</v>
      </c>
      <c r="G235" s="94" t="s">
        <v>271</v>
      </c>
      <c r="H235" s="167">
        <v>19625.75</v>
      </c>
      <c r="I235" s="96">
        <v>0</v>
      </c>
      <c r="J235" s="94" t="s">
        <v>268</v>
      </c>
    </row>
    <row r="236" spans="1:10" x14ac:dyDescent="0.2">
      <c r="A236" s="94" t="s">
        <v>265</v>
      </c>
      <c r="B236" s="95">
        <v>2025</v>
      </c>
      <c r="C236" s="95">
        <v>54</v>
      </c>
      <c r="D236" s="94" t="s">
        <v>308</v>
      </c>
      <c r="E236" s="95">
        <v>11</v>
      </c>
      <c r="F236" s="95">
        <v>15</v>
      </c>
      <c r="G236" s="94" t="s">
        <v>281</v>
      </c>
      <c r="H236" s="167">
        <v>241610.4</v>
      </c>
      <c r="I236" s="96">
        <v>0</v>
      </c>
      <c r="J236" s="94" t="s">
        <v>268</v>
      </c>
    </row>
    <row r="237" spans="1:10" hidden="1" x14ac:dyDescent="0.2">
      <c r="A237" s="94" t="s">
        <v>265</v>
      </c>
      <c r="B237" s="95">
        <v>2025</v>
      </c>
      <c r="C237" s="95">
        <v>54</v>
      </c>
      <c r="D237" s="94" t="s">
        <v>308</v>
      </c>
      <c r="E237" s="95">
        <v>11</v>
      </c>
      <c r="F237" s="95">
        <v>24</v>
      </c>
      <c r="G237" s="94" t="s">
        <v>272</v>
      </c>
      <c r="H237" s="167">
        <v>1000</v>
      </c>
      <c r="I237" s="96">
        <v>0</v>
      </c>
      <c r="J237" s="94" t="s">
        <v>268</v>
      </c>
    </row>
    <row r="238" spans="1:10" hidden="1" x14ac:dyDescent="0.2">
      <c r="A238" s="94" t="s">
        <v>265</v>
      </c>
      <c r="B238" s="95">
        <v>2025</v>
      </c>
      <c r="C238" s="95">
        <v>54</v>
      </c>
      <c r="D238" s="94" t="s">
        <v>308</v>
      </c>
      <c r="E238" s="95">
        <v>11</v>
      </c>
      <c r="F238" s="95">
        <v>25</v>
      </c>
      <c r="G238" s="94" t="s">
        <v>273</v>
      </c>
      <c r="H238" s="167">
        <v>154</v>
      </c>
      <c r="I238" s="96">
        <v>0</v>
      </c>
      <c r="J238" s="94" t="s">
        <v>268</v>
      </c>
    </row>
    <row r="239" spans="1:10" hidden="1" x14ac:dyDescent="0.2">
      <c r="A239" s="94" t="s">
        <v>265</v>
      </c>
      <c r="B239" s="95">
        <v>2025</v>
      </c>
      <c r="C239" s="95">
        <v>54</v>
      </c>
      <c r="D239" s="94" t="s">
        <v>308</v>
      </c>
      <c r="E239" s="95">
        <v>11</v>
      </c>
      <c r="F239" s="95">
        <v>51</v>
      </c>
      <c r="G239" s="94" t="s">
        <v>274</v>
      </c>
      <c r="H239" s="167">
        <v>154</v>
      </c>
      <c r="I239" s="96">
        <v>0</v>
      </c>
      <c r="J239" s="94" t="s">
        <v>268</v>
      </c>
    </row>
    <row r="240" spans="1:10" x14ac:dyDescent="0.2">
      <c r="A240" s="94" t="s">
        <v>265</v>
      </c>
      <c r="B240" s="95">
        <v>2025</v>
      </c>
      <c r="C240" s="95">
        <v>54</v>
      </c>
      <c r="D240" s="94" t="s">
        <v>308</v>
      </c>
      <c r="E240" s="95">
        <v>11</v>
      </c>
      <c r="F240" s="95">
        <v>62</v>
      </c>
      <c r="G240" s="94" t="s">
        <v>282</v>
      </c>
      <c r="H240" s="167">
        <v>295730.3</v>
      </c>
      <c r="I240" s="96">
        <v>0</v>
      </c>
      <c r="J240" s="94" t="s">
        <v>268</v>
      </c>
    </row>
    <row r="241" spans="1:10" hidden="1" x14ac:dyDescent="0.2">
      <c r="A241" s="94" t="s">
        <v>265</v>
      </c>
      <c r="B241" s="95">
        <v>2025</v>
      </c>
      <c r="C241" s="95">
        <v>54</v>
      </c>
      <c r="D241" s="94" t="s">
        <v>308</v>
      </c>
      <c r="E241" s="95">
        <v>11</v>
      </c>
      <c r="F241" s="95">
        <v>93</v>
      </c>
      <c r="G241" s="94" t="s">
        <v>275</v>
      </c>
      <c r="H241" s="167">
        <v>3726.18</v>
      </c>
      <c r="I241" s="96">
        <v>0</v>
      </c>
      <c r="J241" s="94" t="s">
        <v>268</v>
      </c>
    </row>
    <row r="242" spans="1:10" hidden="1" x14ac:dyDescent="0.2">
      <c r="A242" s="94" t="s">
        <v>265</v>
      </c>
      <c r="B242" s="95">
        <v>2025</v>
      </c>
      <c r="C242" s="95">
        <v>55</v>
      </c>
      <c r="D242" s="94" t="s">
        <v>309</v>
      </c>
      <c r="E242" s="95">
        <v>11</v>
      </c>
      <c r="F242" s="95">
        <v>1</v>
      </c>
      <c r="G242" s="94" t="s">
        <v>267</v>
      </c>
      <c r="H242" s="167">
        <v>30276.52</v>
      </c>
      <c r="I242" s="96">
        <v>0</v>
      </c>
      <c r="J242" s="94" t="s">
        <v>268</v>
      </c>
    </row>
    <row r="243" spans="1:10" hidden="1" x14ac:dyDescent="0.2">
      <c r="A243" s="94" t="s">
        <v>265</v>
      </c>
      <c r="B243" s="95">
        <v>2025</v>
      </c>
      <c r="C243" s="95">
        <v>55</v>
      </c>
      <c r="D243" s="94" t="s">
        <v>309</v>
      </c>
      <c r="E243" s="95">
        <v>11</v>
      </c>
      <c r="F243" s="95">
        <v>3</v>
      </c>
      <c r="G243" s="94" t="s">
        <v>269</v>
      </c>
      <c r="H243" s="167">
        <v>304.02</v>
      </c>
      <c r="I243" s="96">
        <v>0</v>
      </c>
      <c r="J243" s="94" t="s">
        <v>268</v>
      </c>
    </row>
    <row r="244" spans="1:10" hidden="1" x14ac:dyDescent="0.2">
      <c r="A244" s="94" t="s">
        <v>265</v>
      </c>
      <c r="B244" s="95">
        <v>2025</v>
      </c>
      <c r="C244" s="95">
        <v>55</v>
      </c>
      <c r="D244" s="94" t="s">
        <v>309</v>
      </c>
      <c r="E244" s="95">
        <v>11</v>
      </c>
      <c r="F244" s="95">
        <v>4</v>
      </c>
      <c r="G244" s="94" t="s">
        <v>270</v>
      </c>
      <c r="H244" s="167">
        <v>315</v>
      </c>
      <c r="I244" s="96">
        <v>0</v>
      </c>
      <c r="J244" s="94" t="s">
        <v>268</v>
      </c>
    </row>
    <row r="245" spans="1:10" hidden="1" x14ac:dyDescent="0.2">
      <c r="A245" s="94" t="s">
        <v>265</v>
      </c>
      <c r="B245" s="95">
        <v>2025</v>
      </c>
      <c r="C245" s="95">
        <v>55</v>
      </c>
      <c r="D245" s="94" t="s">
        <v>309</v>
      </c>
      <c r="E245" s="95">
        <v>11</v>
      </c>
      <c r="F245" s="95">
        <v>6</v>
      </c>
      <c r="G245" s="94" t="s">
        <v>271</v>
      </c>
      <c r="H245" s="167">
        <v>12975.65</v>
      </c>
      <c r="I245" s="96">
        <v>0</v>
      </c>
      <c r="J245" s="94" t="s">
        <v>268</v>
      </c>
    </row>
    <row r="246" spans="1:10" x14ac:dyDescent="0.2">
      <c r="A246" s="94" t="s">
        <v>265</v>
      </c>
      <c r="B246" s="95">
        <v>2025</v>
      </c>
      <c r="C246" s="95">
        <v>55</v>
      </c>
      <c r="D246" s="94" t="s">
        <v>309</v>
      </c>
      <c r="E246" s="95">
        <v>11</v>
      </c>
      <c r="F246" s="95">
        <v>15</v>
      </c>
      <c r="G246" s="94" t="s">
        <v>281</v>
      </c>
      <c r="H246" s="167">
        <v>246531.95</v>
      </c>
      <c r="I246" s="96">
        <v>0</v>
      </c>
      <c r="J246" s="94" t="s">
        <v>268</v>
      </c>
    </row>
    <row r="247" spans="1:10" hidden="1" x14ac:dyDescent="0.2">
      <c r="A247" s="94" t="s">
        <v>265</v>
      </c>
      <c r="B247" s="95">
        <v>2025</v>
      </c>
      <c r="C247" s="95">
        <v>55</v>
      </c>
      <c r="D247" s="94" t="s">
        <v>309</v>
      </c>
      <c r="E247" s="95">
        <v>11</v>
      </c>
      <c r="F247" s="95">
        <v>24</v>
      </c>
      <c r="G247" s="94" t="s">
        <v>272</v>
      </c>
      <c r="H247" s="167">
        <v>1000</v>
      </c>
      <c r="I247" s="96">
        <v>0</v>
      </c>
      <c r="J247" s="94" t="s">
        <v>268</v>
      </c>
    </row>
    <row r="248" spans="1:10" hidden="1" x14ac:dyDescent="0.2">
      <c r="A248" s="94" t="s">
        <v>265</v>
      </c>
      <c r="B248" s="95">
        <v>2025</v>
      </c>
      <c r="C248" s="95">
        <v>55</v>
      </c>
      <c r="D248" s="94" t="s">
        <v>309</v>
      </c>
      <c r="E248" s="95">
        <v>11</v>
      </c>
      <c r="F248" s="95">
        <v>25</v>
      </c>
      <c r="G248" s="94" t="s">
        <v>273</v>
      </c>
      <c r="H248" s="167">
        <v>253.99</v>
      </c>
      <c r="I248" s="96">
        <v>0</v>
      </c>
      <c r="J248" s="94" t="s">
        <v>268</v>
      </c>
    </row>
    <row r="249" spans="1:10" hidden="1" x14ac:dyDescent="0.2">
      <c r="A249" s="94" t="s">
        <v>265</v>
      </c>
      <c r="B249" s="95">
        <v>2025</v>
      </c>
      <c r="C249" s="95">
        <v>55</v>
      </c>
      <c r="D249" s="94" t="s">
        <v>309</v>
      </c>
      <c r="E249" s="95">
        <v>11</v>
      </c>
      <c r="F249" s="95">
        <v>51</v>
      </c>
      <c r="G249" s="94" t="s">
        <v>274</v>
      </c>
      <c r="H249" s="167">
        <v>154</v>
      </c>
      <c r="I249" s="96">
        <v>0</v>
      </c>
      <c r="J249" s="94" t="s">
        <v>268</v>
      </c>
    </row>
    <row r="250" spans="1:10" x14ac:dyDescent="0.2">
      <c r="A250" s="94" t="s">
        <v>265</v>
      </c>
      <c r="B250" s="95">
        <v>2025</v>
      </c>
      <c r="C250" s="95">
        <v>55</v>
      </c>
      <c r="D250" s="94" t="s">
        <v>309</v>
      </c>
      <c r="E250" s="95">
        <v>11</v>
      </c>
      <c r="F250" s="95">
        <v>62</v>
      </c>
      <c r="G250" s="94" t="s">
        <v>282</v>
      </c>
      <c r="H250" s="167">
        <v>254644.78</v>
      </c>
      <c r="I250" s="96">
        <v>0</v>
      </c>
      <c r="J250" s="94" t="s">
        <v>268</v>
      </c>
    </row>
    <row r="251" spans="1:10" hidden="1" x14ac:dyDescent="0.2">
      <c r="A251" s="94" t="s">
        <v>265</v>
      </c>
      <c r="B251" s="95">
        <v>2025</v>
      </c>
      <c r="C251" s="95">
        <v>55</v>
      </c>
      <c r="D251" s="94" t="s">
        <v>309</v>
      </c>
      <c r="E251" s="95">
        <v>11</v>
      </c>
      <c r="F251" s="95">
        <v>93</v>
      </c>
      <c r="G251" s="94" t="s">
        <v>275</v>
      </c>
      <c r="H251" s="167">
        <v>346.04</v>
      </c>
      <c r="I251" s="96">
        <v>0</v>
      </c>
      <c r="J251" s="94" t="s">
        <v>268</v>
      </c>
    </row>
    <row r="252" spans="1:10" hidden="1" x14ac:dyDescent="0.2">
      <c r="A252" s="94" t="s">
        <v>265</v>
      </c>
      <c r="B252" s="95">
        <v>2025</v>
      </c>
      <c r="C252" s="95">
        <v>56</v>
      </c>
      <c r="D252" s="94" t="s">
        <v>310</v>
      </c>
      <c r="E252" s="95">
        <v>11</v>
      </c>
      <c r="F252" s="95">
        <v>1</v>
      </c>
      <c r="G252" s="94" t="s">
        <v>267</v>
      </c>
      <c r="H252" s="167">
        <v>46176.67</v>
      </c>
      <c r="I252" s="96">
        <v>0</v>
      </c>
      <c r="J252" s="94" t="s">
        <v>268</v>
      </c>
    </row>
    <row r="253" spans="1:10" hidden="1" x14ac:dyDescent="0.2">
      <c r="A253" s="94" t="s">
        <v>265</v>
      </c>
      <c r="B253" s="95">
        <v>2025</v>
      </c>
      <c r="C253" s="95">
        <v>56</v>
      </c>
      <c r="D253" s="94" t="s">
        <v>310</v>
      </c>
      <c r="E253" s="95">
        <v>11</v>
      </c>
      <c r="F253" s="95">
        <v>3</v>
      </c>
      <c r="G253" s="94" t="s">
        <v>269</v>
      </c>
      <c r="H253" s="167">
        <v>230</v>
      </c>
      <c r="I253" s="96">
        <v>0</v>
      </c>
      <c r="J253" s="94" t="s">
        <v>268</v>
      </c>
    </row>
    <row r="254" spans="1:10" hidden="1" x14ac:dyDescent="0.2">
      <c r="A254" s="94" t="s">
        <v>265</v>
      </c>
      <c r="B254" s="95">
        <v>2025</v>
      </c>
      <c r="C254" s="95">
        <v>56</v>
      </c>
      <c r="D254" s="94" t="s">
        <v>310</v>
      </c>
      <c r="E254" s="95">
        <v>11</v>
      </c>
      <c r="F254" s="95">
        <v>4</v>
      </c>
      <c r="G254" s="94" t="s">
        <v>270</v>
      </c>
      <c r="H254" s="167">
        <v>315</v>
      </c>
      <c r="I254" s="96">
        <v>0</v>
      </c>
      <c r="J254" s="94" t="s">
        <v>268</v>
      </c>
    </row>
    <row r="255" spans="1:10" hidden="1" x14ac:dyDescent="0.2">
      <c r="A255" s="94" t="s">
        <v>265</v>
      </c>
      <c r="B255" s="95">
        <v>2025</v>
      </c>
      <c r="C255" s="95">
        <v>56</v>
      </c>
      <c r="D255" s="94" t="s">
        <v>310</v>
      </c>
      <c r="E255" s="95">
        <v>11</v>
      </c>
      <c r="F255" s="95">
        <v>6</v>
      </c>
      <c r="G255" s="94" t="s">
        <v>271</v>
      </c>
      <c r="H255" s="167">
        <v>19790</v>
      </c>
      <c r="I255" s="96">
        <v>0</v>
      </c>
      <c r="J255" s="94" t="s">
        <v>268</v>
      </c>
    </row>
    <row r="256" spans="1:10" x14ac:dyDescent="0.2">
      <c r="A256" s="94" t="s">
        <v>265</v>
      </c>
      <c r="B256" s="95">
        <v>2025</v>
      </c>
      <c r="C256" s="95">
        <v>56</v>
      </c>
      <c r="D256" s="94" t="s">
        <v>310</v>
      </c>
      <c r="E256" s="95">
        <v>11</v>
      </c>
      <c r="F256" s="95">
        <v>15</v>
      </c>
      <c r="G256" s="94" t="s">
        <v>281</v>
      </c>
      <c r="H256" s="167">
        <v>245300.56</v>
      </c>
      <c r="I256" s="96">
        <v>0</v>
      </c>
      <c r="J256" s="94" t="s">
        <v>268</v>
      </c>
    </row>
    <row r="257" spans="1:10" hidden="1" x14ac:dyDescent="0.2">
      <c r="A257" s="94" t="s">
        <v>265</v>
      </c>
      <c r="B257" s="95">
        <v>2025</v>
      </c>
      <c r="C257" s="95">
        <v>56</v>
      </c>
      <c r="D257" s="94" t="s">
        <v>310</v>
      </c>
      <c r="E257" s="95">
        <v>11</v>
      </c>
      <c r="F257" s="95">
        <v>24</v>
      </c>
      <c r="G257" s="94" t="s">
        <v>272</v>
      </c>
      <c r="H257" s="167">
        <v>1000</v>
      </c>
      <c r="I257" s="96">
        <v>0</v>
      </c>
      <c r="J257" s="94" t="s">
        <v>268</v>
      </c>
    </row>
    <row r="258" spans="1:10" hidden="1" x14ac:dyDescent="0.2">
      <c r="A258" s="94" t="s">
        <v>265</v>
      </c>
      <c r="B258" s="95">
        <v>2025</v>
      </c>
      <c r="C258" s="95">
        <v>56</v>
      </c>
      <c r="D258" s="94" t="s">
        <v>310</v>
      </c>
      <c r="E258" s="95">
        <v>11</v>
      </c>
      <c r="F258" s="95">
        <v>25</v>
      </c>
      <c r="G258" s="94" t="s">
        <v>273</v>
      </c>
      <c r="H258" s="167">
        <v>154</v>
      </c>
      <c r="I258" s="96">
        <v>0</v>
      </c>
      <c r="J258" s="94" t="s">
        <v>268</v>
      </c>
    </row>
    <row r="259" spans="1:10" hidden="1" x14ac:dyDescent="0.2">
      <c r="A259" s="94" t="s">
        <v>265</v>
      </c>
      <c r="B259" s="95">
        <v>2025</v>
      </c>
      <c r="C259" s="95">
        <v>56</v>
      </c>
      <c r="D259" s="94" t="s">
        <v>310</v>
      </c>
      <c r="E259" s="95">
        <v>11</v>
      </c>
      <c r="F259" s="95">
        <v>51</v>
      </c>
      <c r="G259" s="94" t="s">
        <v>274</v>
      </c>
      <c r="H259" s="167">
        <v>154</v>
      </c>
      <c r="I259" s="96">
        <v>0</v>
      </c>
      <c r="J259" s="94" t="s">
        <v>268</v>
      </c>
    </row>
    <row r="260" spans="1:10" x14ac:dyDescent="0.2">
      <c r="A260" s="94" t="s">
        <v>265</v>
      </c>
      <c r="B260" s="95">
        <v>2025</v>
      </c>
      <c r="C260" s="95">
        <v>56</v>
      </c>
      <c r="D260" s="94" t="s">
        <v>310</v>
      </c>
      <c r="E260" s="95">
        <v>11</v>
      </c>
      <c r="F260" s="95">
        <v>62</v>
      </c>
      <c r="G260" s="94" t="s">
        <v>282</v>
      </c>
      <c r="H260" s="167">
        <v>269016.09999999998</v>
      </c>
      <c r="I260" s="96">
        <v>0</v>
      </c>
      <c r="J260" s="94" t="s">
        <v>268</v>
      </c>
    </row>
    <row r="261" spans="1:10" hidden="1" x14ac:dyDescent="0.2">
      <c r="A261" s="94" t="s">
        <v>265</v>
      </c>
      <c r="B261" s="95">
        <v>2025</v>
      </c>
      <c r="C261" s="95">
        <v>56</v>
      </c>
      <c r="D261" s="94" t="s">
        <v>310</v>
      </c>
      <c r="E261" s="95">
        <v>11</v>
      </c>
      <c r="F261" s="95">
        <v>93</v>
      </c>
      <c r="G261" s="94" t="s">
        <v>275</v>
      </c>
      <c r="H261" s="167">
        <v>3611.1</v>
      </c>
      <c r="I261" s="96">
        <v>0</v>
      </c>
      <c r="J261" s="94" t="s">
        <v>268</v>
      </c>
    </row>
    <row r="262" spans="1:10" hidden="1" x14ac:dyDescent="0.2">
      <c r="A262" s="94" t="s">
        <v>265</v>
      </c>
      <c r="B262" s="95">
        <v>2025</v>
      </c>
      <c r="C262" s="95">
        <v>57</v>
      </c>
      <c r="D262" s="94" t="s">
        <v>311</v>
      </c>
      <c r="E262" s="95">
        <v>11</v>
      </c>
      <c r="F262" s="95">
        <v>1</v>
      </c>
      <c r="G262" s="94" t="s">
        <v>267</v>
      </c>
      <c r="H262" s="167">
        <v>33016.67</v>
      </c>
      <c r="I262" s="96">
        <v>0</v>
      </c>
      <c r="J262" s="94" t="s">
        <v>268</v>
      </c>
    </row>
    <row r="263" spans="1:10" hidden="1" x14ac:dyDescent="0.2">
      <c r="A263" s="94" t="s">
        <v>265</v>
      </c>
      <c r="B263" s="95">
        <v>2025</v>
      </c>
      <c r="C263" s="95">
        <v>57</v>
      </c>
      <c r="D263" s="94" t="s">
        <v>311</v>
      </c>
      <c r="E263" s="95">
        <v>11</v>
      </c>
      <c r="F263" s="95">
        <v>3</v>
      </c>
      <c r="G263" s="94" t="s">
        <v>269</v>
      </c>
      <c r="H263" s="167">
        <v>304.02</v>
      </c>
      <c r="I263" s="96">
        <v>0</v>
      </c>
      <c r="J263" s="94" t="s">
        <v>268</v>
      </c>
    </row>
    <row r="264" spans="1:10" hidden="1" x14ac:dyDescent="0.2">
      <c r="A264" s="94" t="s">
        <v>265</v>
      </c>
      <c r="B264" s="95">
        <v>2025</v>
      </c>
      <c r="C264" s="95">
        <v>57</v>
      </c>
      <c r="D264" s="94" t="s">
        <v>311</v>
      </c>
      <c r="E264" s="95">
        <v>11</v>
      </c>
      <c r="F264" s="95">
        <v>4</v>
      </c>
      <c r="G264" s="94" t="s">
        <v>270</v>
      </c>
      <c r="H264" s="167">
        <v>315</v>
      </c>
      <c r="I264" s="96">
        <v>0</v>
      </c>
      <c r="J264" s="94" t="s">
        <v>268</v>
      </c>
    </row>
    <row r="265" spans="1:10" hidden="1" x14ac:dyDescent="0.2">
      <c r="A265" s="94" t="s">
        <v>265</v>
      </c>
      <c r="B265" s="95">
        <v>2025</v>
      </c>
      <c r="C265" s="95">
        <v>57</v>
      </c>
      <c r="D265" s="94" t="s">
        <v>311</v>
      </c>
      <c r="E265" s="95">
        <v>11</v>
      </c>
      <c r="F265" s="95">
        <v>6</v>
      </c>
      <c r="G265" s="94" t="s">
        <v>271</v>
      </c>
      <c r="H265" s="167">
        <v>14150</v>
      </c>
      <c r="I265" s="96">
        <v>0</v>
      </c>
      <c r="J265" s="94" t="s">
        <v>268</v>
      </c>
    </row>
    <row r="266" spans="1:10" hidden="1" x14ac:dyDescent="0.2">
      <c r="A266" s="94" t="s">
        <v>265</v>
      </c>
      <c r="B266" s="95">
        <v>2025</v>
      </c>
      <c r="C266" s="95">
        <v>57</v>
      </c>
      <c r="D266" s="94" t="s">
        <v>311</v>
      </c>
      <c r="E266" s="95">
        <v>11</v>
      </c>
      <c r="F266" s="95">
        <v>24</v>
      </c>
      <c r="G266" s="94" t="s">
        <v>272</v>
      </c>
      <c r="H266" s="167">
        <v>1000</v>
      </c>
      <c r="I266" s="96">
        <v>0</v>
      </c>
      <c r="J266" s="94" t="s">
        <v>268</v>
      </c>
    </row>
    <row r="267" spans="1:10" hidden="1" x14ac:dyDescent="0.2">
      <c r="A267" s="94" t="s">
        <v>265</v>
      </c>
      <c r="B267" s="95">
        <v>2025</v>
      </c>
      <c r="C267" s="95">
        <v>57</v>
      </c>
      <c r="D267" s="94" t="s">
        <v>311</v>
      </c>
      <c r="E267" s="95">
        <v>11</v>
      </c>
      <c r="F267" s="95">
        <v>25</v>
      </c>
      <c r="G267" s="94" t="s">
        <v>273</v>
      </c>
      <c r="H267" s="167">
        <v>252.04</v>
      </c>
      <c r="I267" s="96">
        <v>0</v>
      </c>
      <c r="J267" s="94" t="s">
        <v>268</v>
      </c>
    </row>
    <row r="268" spans="1:10" hidden="1" x14ac:dyDescent="0.2">
      <c r="A268" s="94" t="s">
        <v>265</v>
      </c>
      <c r="B268" s="95">
        <v>2025</v>
      </c>
      <c r="C268" s="95">
        <v>57</v>
      </c>
      <c r="D268" s="94" t="s">
        <v>311</v>
      </c>
      <c r="E268" s="95">
        <v>11</v>
      </c>
      <c r="F268" s="95">
        <v>51</v>
      </c>
      <c r="G268" s="94" t="s">
        <v>274</v>
      </c>
      <c r="H268" s="167">
        <v>154</v>
      </c>
      <c r="I268" s="96">
        <v>0</v>
      </c>
      <c r="J268" s="94" t="s">
        <v>268</v>
      </c>
    </row>
    <row r="269" spans="1:10" hidden="1" x14ac:dyDescent="0.2">
      <c r="A269" s="94" t="s">
        <v>265</v>
      </c>
      <c r="B269" s="95">
        <v>2025</v>
      </c>
      <c r="C269" s="95">
        <v>57</v>
      </c>
      <c r="D269" s="94" t="s">
        <v>311</v>
      </c>
      <c r="E269" s="95">
        <v>11</v>
      </c>
      <c r="F269" s="95">
        <v>93</v>
      </c>
      <c r="G269" s="94" t="s">
        <v>275</v>
      </c>
      <c r="H269" s="167">
        <v>1402.08</v>
      </c>
      <c r="I269" s="96">
        <v>0</v>
      </c>
      <c r="J269" s="94" t="s">
        <v>268</v>
      </c>
    </row>
    <row r="270" spans="1:10" hidden="1" x14ac:dyDescent="0.2">
      <c r="A270" s="94" t="s">
        <v>265</v>
      </c>
      <c r="B270" s="95">
        <v>2025</v>
      </c>
      <c r="C270" s="95">
        <v>59</v>
      </c>
      <c r="D270" s="94" t="s">
        <v>312</v>
      </c>
      <c r="E270" s="95">
        <v>11</v>
      </c>
      <c r="F270" s="95">
        <v>1</v>
      </c>
      <c r="G270" s="94" t="s">
        <v>267</v>
      </c>
      <c r="H270" s="167">
        <v>42373.57</v>
      </c>
      <c r="I270" s="96">
        <v>0</v>
      </c>
      <c r="J270" s="94" t="s">
        <v>268</v>
      </c>
    </row>
    <row r="271" spans="1:10" hidden="1" x14ac:dyDescent="0.2">
      <c r="A271" s="94" t="s">
        <v>265</v>
      </c>
      <c r="B271" s="95">
        <v>2025</v>
      </c>
      <c r="C271" s="95">
        <v>59</v>
      </c>
      <c r="D271" s="94" t="s">
        <v>312</v>
      </c>
      <c r="E271" s="95">
        <v>11</v>
      </c>
      <c r="F271" s="95">
        <v>3</v>
      </c>
      <c r="G271" s="94" t="s">
        <v>269</v>
      </c>
      <c r="H271" s="167">
        <v>230</v>
      </c>
      <c r="I271" s="96">
        <v>0</v>
      </c>
      <c r="J271" s="94" t="s">
        <v>268</v>
      </c>
    </row>
    <row r="272" spans="1:10" hidden="1" x14ac:dyDescent="0.2">
      <c r="A272" s="94" t="s">
        <v>265</v>
      </c>
      <c r="B272" s="95">
        <v>2025</v>
      </c>
      <c r="C272" s="95">
        <v>59</v>
      </c>
      <c r="D272" s="94" t="s">
        <v>312</v>
      </c>
      <c r="E272" s="95">
        <v>11</v>
      </c>
      <c r="F272" s="95">
        <v>4</v>
      </c>
      <c r="G272" s="94" t="s">
        <v>270</v>
      </c>
      <c r="H272" s="167">
        <v>315</v>
      </c>
      <c r="I272" s="96">
        <v>0</v>
      </c>
      <c r="J272" s="94" t="s">
        <v>268</v>
      </c>
    </row>
    <row r="273" spans="1:10" hidden="1" x14ac:dyDescent="0.2">
      <c r="A273" s="94" t="s">
        <v>265</v>
      </c>
      <c r="B273" s="95">
        <v>2025</v>
      </c>
      <c r="C273" s="95">
        <v>59</v>
      </c>
      <c r="D273" s="94" t="s">
        <v>312</v>
      </c>
      <c r="E273" s="95">
        <v>11</v>
      </c>
      <c r="F273" s="95">
        <v>6</v>
      </c>
      <c r="G273" s="94" t="s">
        <v>271</v>
      </c>
      <c r="H273" s="167">
        <v>18160.099999999999</v>
      </c>
      <c r="I273" s="96">
        <v>0</v>
      </c>
      <c r="J273" s="94" t="s">
        <v>268</v>
      </c>
    </row>
    <row r="274" spans="1:10" hidden="1" x14ac:dyDescent="0.2">
      <c r="A274" s="94" t="s">
        <v>265</v>
      </c>
      <c r="B274" s="95">
        <v>2025</v>
      </c>
      <c r="C274" s="95">
        <v>59</v>
      </c>
      <c r="D274" s="94" t="s">
        <v>312</v>
      </c>
      <c r="E274" s="95">
        <v>11</v>
      </c>
      <c r="F274" s="95">
        <v>22</v>
      </c>
      <c r="G274" s="94" t="s">
        <v>296</v>
      </c>
      <c r="H274" s="167">
        <v>150</v>
      </c>
      <c r="I274" s="96">
        <v>0</v>
      </c>
      <c r="J274" s="94" t="s">
        <v>268</v>
      </c>
    </row>
    <row r="275" spans="1:10" hidden="1" x14ac:dyDescent="0.2">
      <c r="A275" s="94" t="s">
        <v>265</v>
      </c>
      <c r="B275" s="95">
        <v>2025</v>
      </c>
      <c r="C275" s="95">
        <v>59</v>
      </c>
      <c r="D275" s="94" t="s">
        <v>312</v>
      </c>
      <c r="E275" s="95">
        <v>11</v>
      </c>
      <c r="F275" s="95">
        <v>24</v>
      </c>
      <c r="G275" s="94" t="s">
        <v>272</v>
      </c>
      <c r="H275" s="167">
        <v>1000</v>
      </c>
      <c r="I275" s="96">
        <v>0</v>
      </c>
      <c r="J275" s="94" t="s">
        <v>268</v>
      </c>
    </row>
    <row r="276" spans="1:10" hidden="1" x14ac:dyDescent="0.2">
      <c r="A276" s="94" t="s">
        <v>265</v>
      </c>
      <c r="B276" s="95">
        <v>2025</v>
      </c>
      <c r="C276" s="95">
        <v>59</v>
      </c>
      <c r="D276" s="94" t="s">
        <v>312</v>
      </c>
      <c r="E276" s="95">
        <v>11</v>
      </c>
      <c r="F276" s="95">
        <v>25</v>
      </c>
      <c r="G276" s="94" t="s">
        <v>273</v>
      </c>
      <c r="H276" s="167">
        <v>304</v>
      </c>
      <c r="I276" s="96">
        <v>0</v>
      </c>
      <c r="J276" s="94" t="s">
        <v>268</v>
      </c>
    </row>
    <row r="277" spans="1:10" hidden="1" x14ac:dyDescent="0.2">
      <c r="A277" s="94" t="s">
        <v>265</v>
      </c>
      <c r="B277" s="95">
        <v>2025</v>
      </c>
      <c r="C277" s="95">
        <v>59</v>
      </c>
      <c r="D277" s="94" t="s">
        <v>312</v>
      </c>
      <c r="E277" s="95">
        <v>11</v>
      </c>
      <c r="F277" s="95">
        <v>51</v>
      </c>
      <c r="G277" s="94" t="s">
        <v>274</v>
      </c>
      <c r="H277" s="167">
        <v>154</v>
      </c>
      <c r="I277" s="96">
        <v>0</v>
      </c>
      <c r="J277" s="94" t="s">
        <v>268</v>
      </c>
    </row>
    <row r="278" spans="1:10" hidden="1" x14ac:dyDescent="0.2">
      <c r="A278" s="94" t="s">
        <v>265</v>
      </c>
      <c r="B278" s="95">
        <v>2025</v>
      </c>
      <c r="C278" s="95">
        <v>59</v>
      </c>
      <c r="D278" s="94" t="s">
        <v>312</v>
      </c>
      <c r="E278" s="95">
        <v>11</v>
      </c>
      <c r="F278" s="95">
        <v>93</v>
      </c>
      <c r="G278" s="94" t="s">
        <v>275</v>
      </c>
      <c r="H278" s="167">
        <v>2805.4</v>
      </c>
      <c r="I278" s="96">
        <v>0</v>
      </c>
      <c r="J278" s="94" t="s">
        <v>268</v>
      </c>
    </row>
    <row r="279" spans="1:10" hidden="1" x14ac:dyDescent="0.2">
      <c r="A279" s="94" t="s">
        <v>265</v>
      </c>
      <c r="B279" s="95">
        <v>2025</v>
      </c>
      <c r="C279" s="95">
        <v>60</v>
      </c>
      <c r="D279" s="94" t="s">
        <v>313</v>
      </c>
      <c r="E279" s="95">
        <v>11</v>
      </c>
      <c r="F279" s="95">
        <v>1</v>
      </c>
      <c r="G279" s="94" t="s">
        <v>267</v>
      </c>
      <c r="H279" s="167">
        <v>40833.22</v>
      </c>
      <c r="I279" s="96">
        <v>0</v>
      </c>
      <c r="J279" s="94" t="s">
        <v>268</v>
      </c>
    </row>
    <row r="280" spans="1:10" hidden="1" x14ac:dyDescent="0.2">
      <c r="A280" s="94" t="s">
        <v>265</v>
      </c>
      <c r="B280" s="95">
        <v>2025</v>
      </c>
      <c r="C280" s="95">
        <v>60</v>
      </c>
      <c r="D280" s="94" t="s">
        <v>313</v>
      </c>
      <c r="E280" s="95">
        <v>11</v>
      </c>
      <c r="F280" s="95">
        <v>3</v>
      </c>
      <c r="G280" s="94" t="s">
        <v>269</v>
      </c>
      <c r="H280" s="167">
        <v>230</v>
      </c>
      <c r="I280" s="96">
        <v>0</v>
      </c>
      <c r="J280" s="94" t="s">
        <v>268</v>
      </c>
    </row>
    <row r="281" spans="1:10" hidden="1" x14ac:dyDescent="0.2">
      <c r="A281" s="94" t="s">
        <v>265</v>
      </c>
      <c r="B281" s="95">
        <v>2025</v>
      </c>
      <c r="C281" s="95">
        <v>60</v>
      </c>
      <c r="D281" s="94" t="s">
        <v>313</v>
      </c>
      <c r="E281" s="95">
        <v>11</v>
      </c>
      <c r="F281" s="95">
        <v>4</v>
      </c>
      <c r="G281" s="94" t="s">
        <v>270</v>
      </c>
      <c r="H281" s="167">
        <v>315</v>
      </c>
      <c r="I281" s="96">
        <v>0</v>
      </c>
      <c r="J281" s="94" t="s">
        <v>268</v>
      </c>
    </row>
    <row r="282" spans="1:10" hidden="1" x14ac:dyDescent="0.2">
      <c r="A282" s="94" t="s">
        <v>265</v>
      </c>
      <c r="B282" s="95">
        <v>2025</v>
      </c>
      <c r="C282" s="95">
        <v>60</v>
      </c>
      <c r="D282" s="94" t="s">
        <v>313</v>
      </c>
      <c r="E282" s="95">
        <v>11</v>
      </c>
      <c r="F282" s="95">
        <v>6</v>
      </c>
      <c r="G282" s="94" t="s">
        <v>271</v>
      </c>
      <c r="H282" s="167">
        <v>17499.95</v>
      </c>
      <c r="I282" s="96">
        <v>0</v>
      </c>
      <c r="J282" s="94" t="s">
        <v>268</v>
      </c>
    </row>
    <row r="283" spans="1:10" x14ac:dyDescent="0.2">
      <c r="A283" s="94" t="s">
        <v>265</v>
      </c>
      <c r="B283" s="95">
        <v>2025</v>
      </c>
      <c r="C283" s="95">
        <v>60</v>
      </c>
      <c r="D283" s="94" t="s">
        <v>313</v>
      </c>
      <c r="E283" s="95">
        <v>11</v>
      </c>
      <c r="F283" s="95">
        <v>15</v>
      </c>
      <c r="G283" s="94" t="s">
        <v>281</v>
      </c>
      <c r="H283" s="167">
        <v>462611.31</v>
      </c>
      <c r="I283" s="96">
        <v>0</v>
      </c>
      <c r="J283" s="94" t="s">
        <v>268</v>
      </c>
    </row>
    <row r="284" spans="1:10" hidden="1" x14ac:dyDescent="0.2">
      <c r="A284" s="94" t="s">
        <v>265</v>
      </c>
      <c r="B284" s="95">
        <v>2025</v>
      </c>
      <c r="C284" s="95">
        <v>60</v>
      </c>
      <c r="D284" s="94" t="s">
        <v>313</v>
      </c>
      <c r="E284" s="95">
        <v>11</v>
      </c>
      <c r="F284" s="95">
        <v>24</v>
      </c>
      <c r="G284" s="94" t="s">
        <v>272</v>
      </c>
      <c r="H284" s="167">
        <v>986.52</v>
      </c>
      <c r="I284" s="96">
        <v>0</v>
      </c>
      <c r="J284" s="94" t="s">
        <v>268</v>
      </c>
    </row>
    <row r="285" spans="1:10" hidden="1" x14ac:dyDescent="0.2">
      <c r="A285" s="94" t="s">
        <v>265</v>
      </c>
      <c r="B285" s="95">
        <v>2025</v>
      </c>
      <c r="C285" s="95">
        <v>60</v>
      </c>
      <c r="D285" s="94" t="s">
        <v>313</v>
      </c>
      <c r="E285" s="95">
        <v>11</v>
      </c>
      <c r="F285" s="95">
        <v>25</v>
      </c>
      <c r="G285" s="94" t="s">
        <v>273</v>
      </c>
      <c r="H285" s="167">
        <v>154</v>
      </c>
      <c r="I285" s="96">
        <v>0</v>
      </c>
      <c r="J285" s="94" t="s">
        <v>268</v>
      </c>
    </row>
    <row r="286" spans="1:10" hidden="1" x14ac:dyDescent="0.2">
      <c r="A286" s="94" t="s">
        <v>265</v>
      </c>
      <c r="B286" s="95">
        <v>2025</v>
      </c>
      <c r="C286" s="95">
        <v>60</v>
      </c>
      <c r="D286" s="94" t="s">
        <v>313</v>
      </c>
      <c r="E286" s="95">
        <v>11</v>
      </c>
      <c r="F286" s="95">
        <v>51</v>
      </c>
      <c r="G286" s="94" t="s">
        <v>274</v>
      </c>
      <c r="H286" s="167">
        <v>154</v>
      </c>
      <c r="I286" s="96">
        <v>0</v>
      </c>
      <c r="J286" s="94" t="s">
        <v>268</v>
      </c>
    </row>
    <row r="287" spans="1:10" x14ac:dyDescent="0.2">
      <c r="A287" s="94" t="s">
        <v>265</v>
      </c>
      <c r="B287" s="95">
        <v>2025</v>
      </c>
      <c r="C287" s="95">
        <v>60</v>
      </c>
      <c r="D287" s="94" t="s">
        <v>313</v>
      </c>
      <c r="E287" s="95">
        <v>11</v>
      </c>
      <c r="F287" s="95">
        <v>62</v>
      </c>
      <c r="G287" s="94" t="s">
        <v>282</v>
      </c>
      <c r="H287" s="167">
        <v>505802.46</v>
      </c>
      <c r="I287" s="96">
        <v>0</v>
      </c>
      <c r="J287" s="94" t="s">
        <v>268</v>
      </c>
    </row>
    <row r="288" spans="1:10" hidden="1" x14ac:dyDescent="0.2">
      <c r="A288" s="94" t="s">
        <v>265</v>
      </c>
      <c r="B288" s="95">
        <v>2025</v>
      </c>
      <c r="C288" s="95">
        <v>60</v>
      </c>
      <c r="D288" s="94" t="s">
        <v>313</v>
      </c>
      <c r="E288" s="95">
        <v>11</v>
      </c>
      <c r="F288" s="95">
        <v>93</v>
      </c>
      <c r="G288" s="94" t="s">
        <v>275</v>
      </c>
      <c r="H288" s="167">
        <v>2479.06</v>
      </c>
      <c r="I288" s="96">
        <v>0</v>
      </c>
      <c r="J288" s="94" t="s">
        <v>268</v>
      </c>
    </row>
    <row r="289" spans="1:10" hidden="1" x14ac:dyDescent="0.2">
      <c r="A289" s="94" t="s">
        <v>265</v>
      </c>
      <c r="B289" s="95">
        <v>2025</v>
      </c>
      <c r="C289" s="95">
        <v>61</v>
      </c>
      <c r="D289" s="94" t="s">
        <v>314</v>
      </c>
      <c r="E289" s="95">
        <v>11</v>
      </c>
      <c r="F289" s="95">
        <v>1</v>
      </c>
      <c r="G289" s="94" t="s">
        <v>267</v>
      </c>
      <c r="H289" s="167">
        <v>34241.67</v>
      </c>
      <c r="I289" s="96">
        <v>0</v>
      </c>
      <c r="J289" s="94" t="s">
        <v>268</v>
      </c>
    </row>
    <row r="290" spans="1:10" hidden="1" x14ac:dyDescent="0.2">
      <c r="A290" s="94" t="s">
        <v>265</v>
      </c>
      <c r="B290" s="95">
        <v>2025</v>
      </c>
      <c r="C290" s="95">
        <v>61</v>
      </c>
      <c r="D290" s="94" t="s">
        <v>314</v>
      </c>
      <c r="E290" s="95">
        <v>11</v>
      </c>
      <c r="F290" s="95">
        <v>3</v>
      </c>
      <c r="G290" s="94" t="s">
        <v>269</v>
      </c>
      <c r="H290" s="167">
        <v>302.01</v>
      </c>
      <c r="I290" s="96">
        <v>0</v>
      </c>
      <c r="J290" s="94" t="s">
        <v>268</v>
      </c>
    </row>
    <row r="291" spans="1:10" hidden="1" x14ac:dyDescent="0.2">
      <c r="A291" s="94" t="s">
        <v>265</v>
      </c>
      <c r="B291" s="95">
        <v>2025</v>
      </c>
      <c r="C291" s="95">
        <v>61</v>
      </c>
      <c r="D291" s="94" t="s">
        <v>314</v>
      </c>
      <c r="E291" s="95">
        <v>11</v>
      </c>
      <c r="F291" s="95">
        <v>4</v>
      </c>
      <c r="G291" s="94" t="s">
        <v>270</v>
      </c>
      <c r="H291" s="167">
        <v>315</v>
      </c>
      <c r="I291" s="96">
        <v>0</v>
      </c>
      <c r="J291" s="94" t="s">
        <v>268</v>
      </c>
    </row>
    <row r="292" spans="1:10" hidden="1" x14ac:dyDescent="0.2">
      <c r="A292" s="94" t="s">
        <v>265</v>
      </c>
      <c r="B292" s="95">
        <v>2025</v>
      </c>
      <c r="C292" s="95">
        <v>61</v>
      </c>
      <c r="D292" s="94" t="s">
        <v>314</v>
      </c>
      <c r="E292" s="95">
        <v>11</v>
      </c>
      <c r="F292" s="95">
        <v>6</v>
      </c>
      <c r="G292" s="94" t="s">
        <v>271</v>
      </c>
      <c r="H292" s="167">
        <v>14675</v>
      </c>
      <c r="I292" s="96">
        <v>0</v>
      </c>
      <c r="J292" s="94" t="s">
        <v>268</v>
      </c>
    </row>
    <row r="293" spans="1:10" x14ac:dyDescent="0.2">
      <c r="A293" s="94" t="s">
        <v>265</v>
      </c>
      <c r="B293" s="95">
        <v>2025</v>
      </c>
      <c r="C293" s="95">
        <v>61</v>
      </c>
      <c r="D293" s="94" t="s">
        <v>314</v>
      </c>
      <c r="E293" s="95">
        <v>11</v>
      </c>
      <c r="F293" s="95">
        <v>15</v>
      </c>
      <c r="G293" s="94" t="s">
        <v>281</v>
      </c>
      <c r="H293" s="167">
        <v>47152.77</v>
      </c>
      <c r="I293" s="96">
        <v>0</v>
      </c>
      <c r="J293" s="94" t="s">
        <v>268</v>
      </c>
    </row>
    <row r="294" spans="1:10" hidden="1" x14ac:dyDescent="0.2">
      <c r="A294" s="94" t="s">
        <v>265</v>
      </c>
      <c r="B294" s="95">
        <v>2025</v>
      </c>
      <c r="C294" s="95">
        <v>61</v>
      </c>
      <c r="D294" s="94" t="s">
        <v>314</v>
      </c>
      <c r="E294" s="95">
        <v>11</v>
      </c>
      <c r="F294" s="95">
        <v>24</v>
      </c>
      <c r="G294" s="94" t="s">
        <v>272</v>
      </c>
      <c r="H294" s="167">
        <v>999.15</v>
      </c>
      <c r="I294" s="96">
        <v>0</v>
      </c>
      <c r="J294" s="94" t="s">
        <v>268</v>
      </c>
    </row>
    <row r="295" spans="1:10" hidden="1" x14ac:dyDescent="0.2">
      <c r="A295" s="94" t="s">
        <v>265</v>
      </c>
      <c r="B295" s="95">
        <v>2025</v>
      </c>
      <c r="C295" s="95">
        <v>61</v>
      </c>
      <c r="D295" s="94" t="s">
        <v>314</v>
      </c>
      <c r="E295" s="95">
        <v>11</v>
      </c>
      <c r="F295" s="95">
        <v>25</v>
      </c>
      <c r="G295" s="94" t="s">
        <v>273</v>
      </c>
      <c r="H295" s="167">
        <v>166</v>
      </c>
      <c r="I295" s="96">
        <v>0</v>
      </c>
      <c r="J295" s="94" t="s">
        <v>268</v>
      </c>
    </row>
    <row r="296" spans="1:10" hidden="1" x14ac:dyDescent="0.2">
      <c r="A296" s="94" t="s">
        <v>265</v>
      </c>
      <c r="B296" s="95">
        <v>2025</v>
      </c>
      <c r="C296" s="95">
        <v>61</v>
      </c>
      <c r="D296" s="94" t="s">
        <v>314</v>
      </c>
      <c r="E296" s="95">
        <v>11</v>
      </c>
      <c r="F296" s="95">
        <v>51</v>
      </c>
      <c r="G296" s="94" t="s">
        <v>274</v>
      </c>
      <c r="H296" s="167">
        <v>154</v>
      </c>
      <c r="I296" s="96">
        <v>0</v>
      </c>
      <c r="J296" s="94" t="s">
        <v>268</v>
      </c>
    </row>
    <row r="297" spans="1:10" x14ac:dyDescent="0.2">
      <c r="A297" s="94" t="s">
        <v>265</v>
      </c>
      <c r="B297" s="95">
        <v>2025</v>
      </c>
      <c r="C297" s="95">
        <v>61</v>
      </c>
      <c r="D297" s="94" t="s">
        <v>314</v>
      </c>
      <c r="E297" s="95">
        <v>11</v>
      </c>
      <c r="F297" s="95">
        <v>62</v>
      </c>
      <c r="G297" s="94" t="s">
        <v>282</v>
      </c>
      <c r="H297" s="167">
        <v>44307.92</v>
      </c>
      <c r="I297" s="96">
        <v>0</v>
      </c>
      <c r="J297" s="94" t="s">
        <v>268</v>
      </c>
    </row>
    <row r="298" spans="1:10" hidden="1" x14ac:dyDescent="0.2">
      <c r="A298" s="94" t="s">
        <v>265</v>
      </c>
      <c r="B298" s="95">
        <v>2025</v>
      </c>
      <c r="C298" s="95">
        <v>61</v>
      </c>
      <c r="D298" s="94" t="s">
        <v>314</v>
      </c>
      <c r="E298" s="95">
        <v>11</v>
      </c>
      <c r="F298" s="95">
        <v>93</v>
      </c>
      <c r="G298" s="94" t="s">
        <v>275</v>
      </c>
      <c r="H298" s="167">
        <v>1112.5899999999999</v>
      </c>
      <c r="I298" s="96">
        <v>0</v>
      </c>
      <c r="J298" s="94" t="s">
        <v>268</v>
      </c>
    </row>
    <row r="299" spans="1:10" hidden="1" x14ac:dyDescent="0.2">
      <c r="A299" s="94" t="s">
        <v>265</v>
      </c>
      <c r="B299" s="95">
        <v>2025</v>
      </c>
      <c r="C299" s="95">
        <v>62</v>
      </c>
      <c r="D299" s="94" t="s">
        <v>315</v>
      </c>
      <c r="E299" s="95">
        <v>11</v>
      </c>
      <c r="F299" s="95">
        <v>1</v>
      </c>
      <c r="G299" s="94" t="s">
        <v>267</v>
      </c>
      <c r="H299" s="167">
        <v>25316.67</v>
      </c>
      <c r="I299" s="96">
        <v>0</v>
      </c>
      <c r="J299" s="94" t="s">
        <v>268</v>
      </c>
    </row>
    <row r="300" spans="1:10" hidden="1" x14ac:dyDescent="0.2">
      <c r="A300" s="94" t="s">
        <v>265</v>
      </c>
      <c r="B300" s="95">
        <v>2025</v>
      </c>
      <c r="C300" s="95">
        <v>62</v>
      </c>
      <c r="D300" s="94" t="s">
        <v>315</v>
      </c>
      <c r="E300" s="95">
        <v>11</v>
      </c>
      <c r="F300" s="95">
        <v>3</v>
      </c>
      <c r="G300" s="94" t="s">
        <v>269</v>
      </c>
      <c r="H300" s="167">
        <v>304</v>
      </c>
      <c r="I300" s="96">
        <v>0</v>
      </c>
      <c r="J300" s="94" t="s">
        <v>268</v>
      </c>
    </row>
    <row r="301" spans="1:10" hidden="1" x14ac:dyDescent="0.2">
      <c r="A301" s="94" t="s">
        <v>265</v>
      </c>
      <c r="B301" s="95">
        <v>2025</v>
      </c>
      <c r="C301" s="95">
        <v>62</v>
      </c>
      <c r="D301" s="94" t="s">
        <v>315</v>
      </c>
      <c r="E301" s="95">
        <v>11</v>
      </c>
      <c r="F301" s="95">
        <v>4</v>
      </c>
      <c r="G301" s="94" t="s">
        <v>270</v>
      </c>
      <c r="H301" s="167">
        <v>315</v>
      </c>
      <c r="I301" s="96">
        <v>0</v>
      </c>
      <c r="J301" s="94" t="s">
        <v>268</v>
      </c>
    </row>
    <row r="302" spans="1:10" hidden="1" x14ac:dyDescent="0.2">
      <c r="A302" s="94" t="s">
        <v>265</v>
      </c>
      <c r="B302" s="95">
        <v>2025</v>
      </c>
      <c r="C302" s="95">
        <v>62</v>
      </c>
      <c r="D302" s="94" t="s">
        <v>315</v>
      </c>
      <c r="E302" s="95">
        <v>11</v>
      </c>
      <c r="F302" s="95">
        <v>6</v>
      </c>
      <c r="G302" s="94" t="s">
        <v>271</v>
      </c>
      <c r="H302" s="167">
        <v>10850</v>
      </c>
      <c r="I302" s="96">
        <v>0</v>
      </c>
      <c r="J302" s="94" t="s">
        <v>268</v>
      </c>
    </row>
    <row r="303" spans="1:10" hidden="1" x14ac:dyDescent="0.2">
      <c r="A303" s="94" t="s">
        <v>265</v>
      </c>
      <c r="B303" s="95">
        <v>2025</v>
      </c>
      <c r="C303" s="95">
        <v>62</v>
      </c>
      <c r="D303" s="94" t="s">
        <v>315</v>
      </c>
      <c r="E303" s="95">
        <v>11</v>
      </c>
      <c r="F303" s="95">
        <v>24</v>
      </c>
      <c r="G303" s="94" t="s">
        <v>272</v>
      </c>
      <c r="H303" s="167">
        <v>832.38</v>
      </c>
      <c r="I303" s="96">
        <v>0</v>
      </c>
      <c r="J303" s="94" t="s">
        <v>268</v>
      </c>
    </row>
    <row r="304" spans="1:10" hidden="1" x14ac:dyDescent="0.2">
      <c r="A304" s="94" t="s">
        <v>265</v>
      </c>
      <c r="B304" s="95">
        <v>2025</v>
      </c>
      <c r="C304" s="95">
        <v>62</v>
      </c>
      <c r="D304" s="94" t="s">
        <v>315</v>
      </c>
      <c r="E304" s="95">
        <v>11</v>
      </c>
      <c r="F304" s="95">
        <v>25</v>
      </c>
      <c r="G304" s="94" t="s">
        <v>273</v>
      </c>
      <c r="H304" s="167">
        <v>252.04</v>
      </c>
      <c r="I304" s="96">
        <v>0</v>
      </c>
      <c r="J304" s="94" t="s">
        <v>268</v>
      </c>
    </row>
    <row r="305" spans="1:10" hidden="1" x14ac:dyDescent="0.2">
      <c r="A305" s="94" t="s">
        <v>265</v>
      </c>
      <c r="B305" s="95">
        <v>2025</v>
      </c>
      <c r="C305" s="95">
        <v>62</v>
      </c>
      <c r="D305" s="94" t="s">
        <v>315</v>
      </c>
      <c r="E305" s="95">
        <v>11</v>
      </c>
      <c r="F305" s="95">
        <v>51</v>
      </c>
      <c r="G305" s="94" t="s">
        <v>274</v>
      </c>
      <c r="H305" s="167">
        <v>154</v>
      </c>
      <c r="I305" s="96">
        <v>0</v>
      </c>
      <c r="J305" s="94" t="s">
        <v>268</v>
      </c>
    </row>
    <row r="306" spans="1:10" hidden="1" x14ac:dyDescent="0.2">
      <c r="A306" s="94" t="s">
        <v>265</v>
      </c>
      <c r="B306" s="95">
        <v>2025</v>
      </c>
      <c r="C306" s="95">
        <v>65</v>
      </c>
      <c r="D306" s="94" t="s">
        <v>316</v>
      </c>
      <c r="E306" s="95">
        <v>11</v>
      </c>
      <c r="F306" s="95">
        <v>1</v>
      </c>
      <c r="G306" s="94" t="s">
        <v>267</v>
      </c>
      <c r="H306" s="167">
        <v>42371</v>
      </c>
      <c r="I306" s="96">
        <v>0</v>
      </c>
      <c r="J306" s="94" t="s">
        <v>268</v>
      </c>
    </row>
    <row r="307" spans="1:10" hidden="1" x14ac:dyDescent="0.2">
      <c r="A307" s="94" t="s">
        <v>265</v>
      </c>
      <c r="B307" s="95">
        <v>2025</v>
      </c>
      <c r="C307" s="95">
        <v>65</v>
      </c>
      <c r="D307" s="94" t="s">
        <v>316</v>
      </c>
      <c r="E307" s="95">
        <v>11</v>
      </c>
      <c r="F307" s="95">
        <v>3</v>
      </c>
      <c r="G307" s="94" t="s">
        <v>269</v>
      </c>
      <c r="H307" s="167">
        <v>230</v>
      </c>
      <c r="I307" s="96">
        <v>0</v>
      </c>
      <c r="J307" s="94" t="s">
        <v>268</v>
      </c>
    </row>
    <row r="308" spans="1:10" hidden="1" x14ac:dyDescent="0.2">
      <c r="A308" s="94" t="s">
        <v>265</v>
      </c>
      <c r="B308" s="95">
        <v>2025</v>
      </c>
      <c r="C308" s="95">
        <v>65</v>
      </c>
      <c r="D308" s="94" t="s">
        <v>316</v>
      </c>
      <c r="E308" s="95">
        <v>11</v>
      </c>
      <c r="F308" s="95">
        <v>4</v>
      </c>
      <c r="G308" s="94" t="s">
        <v>270</v>
      </c>
      <c r="H308" s="167">
        <v>315</v>
      </c>
      <c r="I308" s="96">
        <v>0</v>
      </c>
      <c r="J308" s="94" t="s">
        <v>268</v>
      </c>
    </row>
    <row r="309" spans="1:10" hidden="1" x14ac:dyDescent="0.2">
      <c r="A309" s="94" t="s">
        <v>265</v>
      </c>
      <c r="B309" s="95">
        <v>2025</v>
      </c>
      <c r="C309" s="95">
        <v>65</v>
      </c>
      <c r="D309" s="94" t="s">
        <v>316</v>
      </c>
      <c r="E309" s="95">
        <v>11</v>
      </c>
      <c r="F309" s="95">
        <v>6</v>
      </c>
      <c r="G309" s="94" t="s">
        <v>271</v>
      </c>
      <c r="H309" s="167">
        <v>18159</v>
      </c>
      <c r="I309" s="96">
        <v>0</v>
      </c>
      <c r="J309" s="94" t="s">
        <v>268</v>
      </c>
    </row>
    <row r="310" spans="1:10" hidden="1" x14ac:dyDescent="0.2">
      <c r="A310" s="94" t="s">
        <v>265</v>
      </c>
      <c r="B310" s="95">
        <v>2025</v>
      </c>
      <c r="C310" s="95">
        <v>65</v>
      </c>
      <c r="D310" s="94" t="s">
        <v>316</v>
      </c>
      <c r="E310" s="95">
        <v>11</v>
      </c>
      <c r="F310" s="95">
        <v>24</v>
      </c>
      <c r="G310" s="94" t="s">
        <v>272</v>
      </c>
      <c r="H310" s="167">
        <v>999.5</v>
      </c>
      <c r="I310" s="96">
        <v>0</v>
      </c>
      <c r="J310" s="94" t="s">
        <v>268</v>
      </c>
    </row>
    <row r="311" spans="1:10" hidden="1" x14ac:dyDescent="0.2">
      <c r="A311" s="94" t="s">
        <v>265</v>
      </c>
      <c r="B311" s="95">
        <v>2025</v>
      </c>
      <c r="C311" s="95">
        <v>65</v>
      </c>
      <c r="D311" s="94" t="s">
        <v>316</v>
      </c>
      <c r="E311" s="95">
        <v>11</v>
      </c>
      <c r="F311" s="95">
        <v>25</v>
      </c>
      <c r="G311" s="94" t="s">
        <v>273</v>
      </c>
      <c r="H311" s="167">
        <v>153.99</v>
      </c>
      <c r="I311" s="96">
        <v>0</v>
      </c>
      <c r="J311" s="94" t="s">
        <v>268</v>
      </c>
    </row>
    <row r="312" spans="1:10" hidden="1" x14ac:dyDescent="0.2">
      <c r="A312" s="94" t="s">
        <v>265</v>
      </c>
      <c r="B312" s="95">
        <v>2025</v>
      </c>
      <c r="C312" s="95">
        <v>65</v>
      </c>
      <c r="D312" s="94" t="s">
        <v>316</v>
      </c>
      <c r="E312" s="95">
        <v>11</v>
      </c>
      <c r="F312" s="95">
        <v>51</v>
      </c>
      <c r="G312" s="94" t="s">
        <v>274</v>
      </c>
      <c r="H312" s="167">
        <v>154</v>
      </c>
      <c r="I312" s="96">
        <v>0</v>
      </c>
      <c r="J312" s="94" t="s">
        <v>268</v>
      </c>
    </row>
    <row r="313" spans="1:10" hidden="1" x14ac:dyDescent="0.2">
      <c r="A313" s="94" t="s">
        <v>265</v>
      </c>
      <c r="B313" s="95">
        <v>2025</v>
      </c>
      <c r="C313" s="95">
        <v>65</v>
      </c>
      <c r="D313" s="94" t="s">
        <v>316</v>
      </c>
      <c r="E313" s="95">
        <v>11</v>
      </c>
      <c r="F313" s="95">
        <v>93</v>
      </c>
      <c r="G313" s="94" t="s">
        <v>275</v>
      </c>
      <c r="H313" s="167">
        <v>2804.85</v>
      </c>
      <c r="I313" s="96">
        <v>0</v>
      </c>
      <c r="J313" s="94" t="s">
        <v>268</v>
      </c>
    </row>
    <row r="314" spans="1:10" hidden="1" x14ac:dyDescent="0.2">
      <c r="A314" s="94" t="s">
        <v>265</v>
      </c>
      <c r="B314" s="95">
        <v>2025</v>
      </c>
      <c r="C314" s="95">
        <v>67</v>
      </c>
      <c r="D314" s="94" t="s">
        <v>317</v>
      </c>
      <c r="E314" s="95">
        <v>11</v>
      </c>
      <c r="F314" s="95">
        <v>1</v>
      </c>
      <c r="G314" s="94" t="s">
        <v>267</v>
      </c>
      <c r="H314" s="167">
        <v>27416.67</v>
      </c>
      <c r="I314" s="96">
        <v>0</v>
      </c>
      <c r="J314" s="94" t="s">
        <v>268</v>
      </c>
    </row>
    <row r="315" spans="1:10" hidden="1" x14ac:dyDescent="0.2">
      <c r="A315" s="94" t="s">
        <v>265</v>
      </c>
      <c r="B315" s="95">
        <v>2025</v>
      </c>
      <c r="C315" s="95">
        <v>67</v>
      </c>
      <c r="D315" s="94" t="s">
        <v>317</v>
      </c>
      <c r="E315" s="95">
        <v>11</v>
      </c>
      <c r="F315" s="95">
        <v>3</v>
      </c>
      <c r="G315" s="94" t="s">
        <v>269</v>
      </c>
      <c r="H315" s="167">
        <v>281.13</v>
      </c>
      <c r="I315" s="96">
        <v>0</v>
      </c>
      <c r="J315" s="94" t="s">
        <v>268</v>
      </c>
    </row>
    <row r="316" spans="1:10" hidden="1" x14ac:dyDescent="0.2">
      <c r="A316" s="94" t="s">
        <v>265</v>
      </c>
      <c r="B316" s="95">
        <v>2025</v>
      </c>
      <c r="C316" s="95">
        <v>67</v>
      </c>
      <c r="D316" s="94" t="s">
        <v>317</v>
      </c>
      <c r="E316" s="95">
        <v>11</v>
      </c>
      <c r="F316" s="95">
        <v>4</v>
      </c>
      <c r="G316" s="94" t="s">
        <v>270</v>
      </c>
      <c r="H316" s="167">
        <v>315</v>
      </c>
      <c r="I316" s="96">
        <v>0</v>
      </c>
      <c r="J316" s="94" t="s">
        <v>268</v>
      </c>
    </row>
    <row r="317" spans="1:10" hidden="1" x14ac:dyDescent="0.2">
      <c r="A317" s="94" t="s">
        <v>265</v>
      </c>
      <c r="B317" s="95">
        <v>2025</v>
      </c>
      <c r="C317" s="95">
        <v>67</v>
      </c>
      <c r="D317" s="94" t="s">
        <v>317</v>
      </c>
      <c r="E317" s="95">
        <v>11</v>
      </c>
      <c r="F317" s="95">
        <v>6</v>
      </c>
      <c r="G317" s="94" t="s">
        <v>271</v>
      </c>
      <c r="H317" s="167">
        <v>11750</v>
      </c>
      <c r="I317" s="96">
        <v>0</v>
      </c>
      <c r="J317" s="94" t="s">
        <v>268</v>
      </c>
    </row>
    <row r="318" spans="1:10" x14ac:dyDescent="0.2">
      <c r="A318" s="94" t="s">
        <v>265</v>
      </c>
      <c r="B318" s="95">
        <v>2025</v>
      </c>
      <c r="C318" s="95">
        <v>67</v>
      </c>
      <c r="D318" s="94" t="s">
        <v>317</v>
      </c>
      <c r="E318" s="95">
        <v>11</v>
      </c>
      <c r="F318" s="95">
        <v>15</v>
      </c>
      <c r="G318" s="94" t="s">
        <v>281</v>
      </c>
      <c r="H318" s="167">
        <v>8222.56</v>
      </c>
      <c r="I318" s="96">
        <v>0</v>
      </c>
      <c r="J318" s="94" t="s">
        <v>268</v>
      </c>
    </row>
    <row r="319" spans="1:10" hidden="1" x14ac:dyDescent="0.2">
      <c r="A319" s="94" t="s">
        <v>265</v>
      </c>
      <c r="B319" s="95">
        <v>2025</v>
      </c>
      <c r="C319" s="95">
        <v>67</v>
      </c>
      <c r="D319" s="94" t="s">
        <v>317</v>
      </c>
      <c r="E319" s="95">
        <v>11</v>
      </c>
      <c r="F319" s="95">
        <v>24</v>
      </c>
      <c r="G319" s="94" t="s">
        <v>272</v>
      </c>
      <c r="H319" s="167">
        <v>965</v>
      </c>
      <c r="I319" s="96">
        <v>0</v>
      </c>
      <c r="J319" s="94" t="s">
        <v>268</v>
      </c>
    </row>
    <row r="320" spans="1:10" hidden="1" x14ac:dyDescent="0.2">
      <c r="A320" s="94" t="s">
        <v>265</v>
      </c>
      <c r="B320" s="95">
        <v>2025</v>
      </c>
      <c r="C320" s="95">
        <v>67</v>
      </c>
      <c r="D320" s="94" t="s">
        <v>317</v>
      </c>
      <c r="E320" s="95">
        <v>11</v>
      </c>
      <c r="F320" s="95">
        <v>25</v>
      </c>
      <c r="G320" s="94" t="s">
        <v>273</v>
      </c>
      <c r="H320" s="167">
        <v>223.36</v>
      </c>
      <c r="I320" s="96">
        <v>0</v>
      </c>
      <c r="J320" s="94" t="s">
        <v>268</v>
      </c>
    </row>
    <row r="321" spans="1:10" hidden="1" x14ac:dyDescent="0.2">
      <c r="A321" s="94" t="s">
        <v>265</v>
      </c>
      <c r="B321" s="95">
        <v>2025</v>
      </c>
      <c r="C321" s="95">
        <v>67</v>
      </c>
      <c r="D321" s="94" t="s">
        <v>317</v>
      </c>
      <c r="E321" s="95">
        <v>11</v>
      </c>
      <c r="F321" s="95">
        <v>51</v>
      </c>
      <c r="G321" s="94" t="s">
        <v>274</v>
      </c>
      <c r="H321" s="167">
        <v>154</v>
      </c>
      <c r="I321" s="96">
        <v>0</v>
      </c>
      <c r="J321" s="94" t="s">
        <v>268</v>
      </c>
    </row>
    <row r="322" spans="1:10" x14ac:dyDescent="0.2">
      <c r="A322" s="94" t="s">
        <v>265</v>
      </c>
      <c r="B322" s="95">
        <v>2025</v>
      </c>
      <c r="C322" s="95">
        <v>67</v>
      </c>
      <c r="D322" s="94" t="s">
        <v>317</v>
      </c>
      <c r="E322" s="95">
        <v>11</v>
      </c>
      <c r="F322" s="95">
        <v>62</v>
      </c>
      <c r="G322" s="94" t="s">
        <v>282</v>
      </c>
      <c r="H322" s="167">
        <v>17159.14</v>
      </c>
      <c r="I322" s="96">
        <v>0</v>
      </c>
      <c r="J322" s="94" t="s">
        <v>268</v>
      </c>
    </row>
    <row r="323" spans="1:10" hidden="1" x14ac:dyDescent="0.2">
      <c r="A323" s="94" t="s">
        <v>265</v>
      </c>
      <c r="B323" s="95">
        <v>2025</v>
      </c>
      <c r="C323" s="95">
        <v>68</v>
      </c>
      <c r="D323" s="94" t="s">
        <v>318</v>
      </c>
      <c r="E323" s="95">
        <v>11</v>
      </c>
      <c r="F323" s="95">
        <v>1</v>
      </c>
      <c r="G323" s="94" t="s">
        <v>267</v>
      </c>
      <c r="H323" s="167">
        <v>37030</v>
      </c>
      <c r="I323" s="96">
        <v>0</v>
      </c>
      <c r="J323" s="94" t="s">
        <v>268</v>
      </c>
    </row>
    <row r="324" spans="1:10" hidden="1" x14ac:dyDescent="0.2">
      <c r="A324" s="94" t="s">
        <v>265</v>
      </c>
      <c r="B324" s="95">
        <v>2025</v>
      </c>
      <c r="C324" s="95">
        <v>68</v>
      </c>
      <c r="D324" s="94" t="s">
        <v>318</v>
      </c>
      <c r="E324" s="95">
        <v>11</v>
      </c>
      <c r="F324" s="95">
        <v>3</v>
      </c>
      <c r="G324" s="94" t="s">
        <v>269</v>
      </c>
      <c r="H324" s="167">
        <v>230</v>
      </c>
      <c r="I324" s="96">
        <v>0</v>
      </c>
      <c r="J324" s="94" t="s">
        <v>268</v>
      </c>
    </row>
    <row r="325" spans="1:10" hidden="1" x14ac:dyDescent="0.2">
      <c r="A325" s="94" t="s">
        <v>265</v>
      </c>
      <c r="B325" s="95">
        <v>2025</v>
      </c>
      <c r="C325" s="95">
        <v>68</v>
      </c>
      <c r="D325" s="94" t="s">
        <v>318</v>
      </c>
      <c r="E325" s="95">
        <v>11</v>
      </c>
      <c r="F325" s="95">
        <v>4</v>
      </c>
      <c r="G325" s="94" t="s">
        <v>270</v>
      </c>
      <c r="H325" s="167">
        <v>315</v>
      </c>
      <c r="I325" s="96">
        <v>0</v>
      </c>
      <c r="J325" s="94" t="s">
        <v>268</v>
      </c>
    </row>
    <row r="326" spans="1:10" hidden="1" x14ac:dyDescent="0.2">
      <c r="A326" s="94" t="s">
        <v>265</v>
      </c>
      <c r="B326" s="95">
        <v>2025</v>
      </c>
      <c r="C326" s="95">
        <v>68</v>
      </c>
      <c r="D326" s="94" t="s">
        <v>318</v>
      </c>
      <c r="E326" s="95">
        <v>11</v>
      </c>
      <c r="F326" s="95">
        <v>6</v>
      </c>
      <c r="G326" s="94" t="s">
        <v>271</v>
      </c>
      <c r="H326" s="167">
        <v>15870</v>
      </c>
      <c r="I326" s="96">
        <v>0</v>
      </c>
      <c r="J326" s="94" t="s">
        <v>268</v>
      </c>
    </row>
    <row r="327" spans="1:10" x14ac:dyDescent="0.2">
      <c r="A327" s="94" t="s">
        <v>265</v>
      </c>
      <c r="B327" s="95">
        <v>2025</v>
      </c>
      <c r="C327" s="95">
        <v>68</v>
      </c>
      <c r="D327" s="94" t="s">
        <v>318</v>
      </c>
      <c r="E327" s="95">
        <v>11</v>
      </c>
      <c r="F327" s="95">
        <v>15</v>
      </c>
      <c r="G327" s="94" t="s">
        <v>281</v>
      </c>
      <c r="H327" s="167">
        <v>201809.12</v>
      </c>
      <c r="I327" s="96">
        <v>0</v>
      </c>
      <c r="J327" s="94" t="s">
        <v>268</v>
      </c>
    </row>
    <row r="328" spans="1:10" hidden="1" x14ac:dyDescent="0.2">
      <c r="A328" s="94" t="s">
        <v>265</v>
      </c>
      <c r="B328" s="95">
        <v>2025</v>
      </c>
      <c r="C328" s="95">
        <v>68</v>
      </c>
      <c r="D328" s="94" t="s">
        <v>318</v>
      </c>
      <c r="E328" s="95">
        <v>11</v>
      </c>
      <c r="F328" s="95">
        <v>24</v>
      </c>
      <c r="G328" s="94" t="s">
        <v>272</v>
      </c>
      <c r="H328" s="167">
        <v>1000</v>
      </c>
      <c r="I328" s="96">
        <v>0</v>
      </c>
      <c r="J328" s="94" t="s">
        <v>268</v>
      </c>
    </row>
    <row r="329" spans="1:10" hidden="1" x14ac:dyDescent="0.2">
      <c r="A329" s="94" t="s">
        <v>265</v>
      </c>
      <c r="B329" s="95">
        <v>2025</v>
      </c>
      <c r="C329" s="95">
        <v>68</v>
      </c>
      <c r="D329" s="94" t="s">
        <v>318</v>
      </c>
      <c r="E329" s="95">
        <v>11</v>
      </c>
      <c r="F329" s="95">
        <v>25</v>
      </c>
      <c r="G329" s="94" t="s">
        <v>273</v>
      </c>
      <c r="H329" s="167">
        <v>154</v>
      </c>
      <c r="I329" s="96">
        <v>0</v>
      </c>
      <c r="J329" s="94" t="s">
        <v>268</v>
      </c>
    </row>
    <row r="330" spans="1:10" hidden="1" x14ac:dyDescent="0.2">
      <c r="A330" s="94" t="s">
        <v>265</v>
      </c>
      <c r="B330" s="95">
        <v>2025</v>
      </c>
      <c r="C330" s="95">
        <v>68</v>
      </c>
      <c r="D330" s="94" t="s">
        <v>318</v>
      </c>
      <c r="E330" s="95">
        <v>11</v>
      </c>
      <c r="F330" s="95">
        <v>51</v>
      </c>
      <c r="G330" s="94" t="s">
        <v>274</v>
      </c>
      <c r="H330" s="167">
        <v>154</v>
      </c>
      <c r="I330" s="96">
        <v>0</v>
      </c>
      <c r="J330" s="94" t="s">
        <v>268</v>
      </c>
    </row>
    <row r="331" spans="1:10" x14ac:dyDescent="0.2">
      <c r="A331" s="94" t="s">
        <v>265</v>
      </c>
      <c r="B331" s="95">
        <v>2025</v>
      </c>
      <c r="C331" s="95">
        <v>68</v>
      </c>
      <c r="D331" s="94" t="s">
        <v>318</v>
      </c>
      <c r="E331" s="95">
        <v>11</v>
      </c>
      <c r="F331" s="95">
        <v>61</v>
      </c>
      <c r="G331" s="94" t="s">
        <v>319</v>
      </c>
      <c r="H331" s="167">
        <v>14311.03</v>
      </c>
      <c r="I331" s="96">
        <v>0</v>
      </c>
      <c r="J331" s="94" t="s">
        <v>268</v>
      </c>
    </row>
    <row r="332" spans="1:10" x14ac:dyDescent="0.2">
      <c r="A332" s="94" t="s">
        <v>265</v>
      </c>
      <c r="B332" s="95">
        <v>2025</v>
      </c>
      <c r="C332" s="95">
        <v>68</v>
      </c>
      <c r="D332" s="94" t="s">
        <v>318</v>
      </c>
      <c r="E332" s="95">
        <v>11</v>
      </c>
      <c r="F332" s="95">
        <v>62</v>
      </c>
      <c r="G332" s="94" t="s">
        <v>282</v>
      </c>
      <c r="H332" s="167">
        <v>199444.81</v>
      </c>
      <c r="I332" s="96">
        <v>0</v>
      </c>
      <c r="J332" s="94" t="s">
        <v>268</v>
      </c>
    </row>
    <row r="333" spans="1:10" x14ac:dyDescent="0.2">
      <c r="A333" s="94" t="s">
        <v>265</v>
      </c>
      <c r="B333" s="95">
        <v>2025</v>
      </c>
      <c r="C333" s="95">
        <v>68</v>
      </c>
      <c r="D333" s="94" t="s">
        <v>318</v>
      </c>
      <c r="E333" s="95">
        <v>11</v>
      </c>
      <c r="F333" s="95">
        <v>75</v>
      </c>
      <c r="G333" s="94" t="s">
        <v>320</v>
      </c>
      <c r="H333" s="167">
        <v>41477.26</v>
      </c>
      <c r="I333" s="96">
        <v>0</v>
      </c>
      <c r="J333" s="94" t="s">
        <v>268</v>
      </c>
    </row>
    <row r="334" spans="1:10" hidden="1" x14ac:dyDescent="0.2">
      <c r="A334" s="94" t="s">
        <v>265</v>
      </c>
      <c r="B334" s="95">
        <v>2025</v>
      </c>
      <c r="C334" s="95">
        <v>68</v>
      </c>
      <c r="D334" s="94" t="s">
        <v>318</v>
      </c>
      <c r="E334" s="95">
        <v>11</v>
      </c>
      <c r="F334" s="95">
        <v>93</v>
      </c>
      <c r="G334" s="94" t="s">
        <v>275</v>
      </c>
      <c r="H334" s="167">
        <v>1673.32</v>
      </c>
      <c r="I334" s="96">
        <v>0</v>
      </c>
      <c r="J334" s="94" t="s">
        <v>268</v>
      </c>
    </row>
    <row r="335" spans="1:10" hidden="1" x14ac:dyDescent="0.2">
      <c r="A335" s="94" t="s">
        <v>265</v>
      </c>
      <c r="B335" s="95">
        <v>2025</v>
      </c>
      <c r="C335" s="95">
        <v>69</v>
      </c>
      <c r="D335" s="94" t="s">
        <v>321</v>
      </c>
      <c r="E335" s="95">
        <v>11</v>
      </c>
      <c r="F335" s="95">
        <v>1</v>
      </c>
      <c r="G335" s="94" t="s">
        <v>267</v>
      </c>
      <c r="H335" s="167">
        <v>37814</v>
      </c>
      <c r="I335" s="96">
        <v>0</v>
      </c>
      <c r="J335" s="94" t="s">
        <v>268</v>
      </c>
    </row>
    <row r="336" spans="1:10" hidden="1" x14ac:dyDescent="0.2">
      <c r="A336" s="94" t="s">
        <v>265</v>
      </c>
      <c r="B336" s="95">
        <v>2025</v>
      </c>
      <c r="C336" s="95">
        <v>69</v>
      </c>
      <c r="D336" s="94" t="s">
        <v>321</v>
      </c>
      <c r="E336" s="95">
        <v>11</v>
      </c>
      <c r="F336" s="95">
        <v>3</v>
      </c>
      <c r="G336" s="94" t="s">
        <v>269</v>
      </c>
      <c r="H336" s="167">
        <v>230</v>
      </c>
      <c r="I336" s="96">
        <v>0</v>
      </c>
      <c r="J336" s="94" t="s">
        <v>268</v>
      </c>
    </row>
    <row r="337" spans="1:10" hidden="1" x14ac:dyDescent="0.2">
      <c r="A337" s="94" t="s">
        <v>265</v>
      </c>
      <c r="B337" s="95">
        <v>2025</v>
      </c>
      <c r="C337" s="95">
        <v>69</v>
      </c>
      <c r="D337" s="94" t="s">
        <v>321</v>
      </c>
      <c r="E337" s="95">
        <v>11</v>
      </c>
      <c r="F337" s="95">
        <v>4</v>
      </c>
      <c r="G337" s="94" t="s">
        <v>270</v>
      </c>
      <c r="H337" s="167">
        <v>315</v>
      </c>
      <c r="I337" s="96">
        <v>0</v>
      </c>
      <c r="J337" s="94" t="s">
        <v>268</v>
      </c>
    </row>
    <row r="338" spans="1:10" hidden="1" x14ac:dyDescent="0.2">
      <c r="A338" s="94" t="s">
        <v>265</v>
      </c>
      <c r="B338" s="95">
        <v>2025</v>
      </c>
      <c r="C338" s="95">
        <v>69</v>
      </c>
      <c r="D338" s="94" t="s">
        <v>321</v>
      </c>
      <c r="E338" s="95">
        <v>11</v>
      </c>
      <c r="F338" s="95">
        <v>6</v>
      </c>
      <c r="G338" s="94" t="s">
        <v>271</v>
      </c>
      <c r="H338" s="167">
        <v>16206</v>
      </c>
      <c r="I338" s="96">
        <v>0</v>
      </c>
      <c r="J338" s="94" t="s">
        <v>268</v>
      </c>
    </row>
    <row r="339" spans="1:10" x14ac:dyDescent="0.2">
      <c r="A339" s="94" t="s">
        <v>265</v>
      </c>
      <c r="B339" s="95">
        <v>2025</v>
      </c>
      <c r="C339" s="95">
        <v>69</v>
      </c>
      <c r="D339" s="94" t="s">
        <v>321</v>
      </c>
      <c r="E339" s="95">
        <v>11</v>
      </c>
      <c r="F339" s="95">
        <v>15</v>
      </c>
      <c r="G339" s="94" t="s">
        <v>281</v>
      </c>
      <c r="H339" s="167">
        <v>161495.54999999999</v>
      </c>
      <c r="I339" s="96">
        <v>0</v>
      </c>
      <c r="J339" s="94" t="s">
        <v>268</v>
      </c>
    </row>
    <row r="340" spans="1:10" hidden="1" x14ac:dyDescent="0.2">
      <c r="A340" s="94" t="s">
        <v>265</v>
      </c>
      <c r="B340" s="95">
        <v>2025</v>
      </c>
      <c r="C340" s="95">
        <v>69</v>
      </c>
      <c r="D340" s="94" t="s">
        <v>321</v>
      </c>
      <c r="E340" s="95">
        <v>11</v>
      </c>
      <c r="F340" s="95">
        <v>24</v>
      </c>
      <c r="G340" s="94" t="s">
        <v>272</v>
      </c>
      <c r="H340" s="167">
        <v>1000</v>
      </c>
      <c r="I340" s="96">
        <v>0</v>
      </c>
      <c r="J340" s="94" t="s">
        <v>268</v>
      </c>
    </row>
    <row r="341" spans="1:10" hidden="1" x14ac:dyDescent="0.2">
      <c r="A341" s="94" t="s">
        <v>265</v>
      </c>
      <c r="B341" s="95">
        <v>2025</v>
      </c>
      <c r="C341" s="95">
        <v>69</v>
      </c>
      <c r="D341" s="94" t="s">
        <v>321</v>
      </c>
      <c r="E341" s="95">
        <v>11</v>
      </c>
      <c r="F341" s="95">
        <v>25</v>
      </c>
      <c r="G341" s="94" t="s">
        <v>273</v>
      </c>
      <c r="H341" s="167">
        <v>154</v>
      </c>
      <c r="I341" s="96">
        <v>0</v>
      </c>
      <c r="J341" s="94" t="s">
        <v>268</v>
      </c>
    </row>
    <row r="342" spans="1:10" hidden="1" x14ac:dyDescent="0.2">
      <c r="A342" s="94" t="s">
        <v>265</v>
      </c>
      <c r="B342" s="95">
        <v>2025</v>
      </c>
      <c r="C342" s="95">
        <v>69</v>
      </c>
      <c r="D342" s="94" t="s">
        <v>321</v>
      </c>
      <c r="E342" s="95">
        <v>11</v>
      </c>
      <c r="F342" s="95">
        <v>51</v>
      </c>
      <c r="G342" s="94" t="s">
        <v>274</v>
      </c>
      <c r="H342" s="167">
        <v>154</v>
      </c>
      <c r="I342" s="96">
        <v>0</v>
      </c>
      <c r="J342" s="94" t="s">
        <v>268</v>
      </c>
    </row>
    <row r="343" spans="1:10" x14ac:dyDescent="0.2">
      <c r="A343" s="94" t="s">
        <v>265</v>
      </c>
      <c r="B343" s="95">
        <v>2025</v>
      </c>
      <c r="C343" s="95">
        <v>69</v>
      </c>
      <c r="D343" s="94" t="s">
        <v>321</v>
      </c>
      <c r="E343" s="95">
        <v>11</v>
      </c>
      <c r="F343" s="95">
        <v>62</v>
      </c>
      <c r="G343" s="94" t="s">
        <v>282</v>
      </c>
      <c r="H343" s="167">
        <v>144980.9</v>
      </c>
      <c r="I343" s="96">
        <v>0</v>
      </c>
      <c r="J343" s="94" t="s">
        <v>268</v>
      </c>
    </row>
    <row r="344" spans="1:10" hidden="1" x14ac:dyDescent="0.2">
      <c r="A344" s="94" t="s">
        <v>265</v>
      </c>
      <c r="B344" s="95">
        <v>2025</v>
      </c>
      <c r="C344" s="95">
        <v>69</v>
      </c>
      <c r="D344" s="94" t="s">
        <v>321</v>
      </c>
      <c r="E344" s="95">
        <v>11</v>
      </c>
      <c r="F344" s="95">
        <v>93</v>
      </c>
      <c r="G344" s="94" t="s">
        <v>275</v>
      </c>
      <c r="H344" s="167">
        <v>1922.84</v>
      </c>
      <c r="I344" s="96">
        <v>0</v>
      </c>
      <c r="J344" s="94" t="s">
        <v>268</v>
      </c>
    </row>
    <row r="345" spans="1:10" hidden="1" x14ac:dyDescent="0.2">
      <c r="A345" s="94" t="s">
        <v>265</v>
      </c>
      <c r="B345" s="95">
        <v>2025</v>
      </c>
      <c r="C345" s="95">
        <v>70</v>
      </c>
      <c r="D345" s="94" t="s">
        <v>322</v>
      </c>
      <c r="E345" s="95">
        <v>11</v>
      </c>
      <c r="F345" s="95">
        <v>1</v>
      </c>
      <c r="G345" s="94" t="s">
        <v>267</v>
      </c>
      <c r="H345" s="167">
        <v>35947.33</v>
      </c>
      <c r="I345" s="96">
        <v>0</v>
      </c>
      <c r="J345" s="94" t="s">
        <v>268</v>
      </c>
    </row>
    <row r="346" spans="1:10" hidden="1" x14ac:dyDescent="0.2">
      <c r="A346" s="94" t="s">
        <v>265</v>
      </c>
      <c r="B346" s="95">
        <v>2025</v>
      </c>
      <c r="C346" s="95">
        <v>70</v>
      </c>
      <c r="D346" s="94" t="s">
        <v>322</v>
      </c>
      <c r="E346" s="95">
        <v>11</v>
      </c>
      <c r="F346" s="95">
        <v>3</v>
      </c>
      <c r="G346" s="94" t="s">
        <v>269</v>
      </c>
      <c r="H346" s="167">
        <v>230</v>
      </c>
      <c r="I346" s="96">
        <v>0</v>
      </c>
      <c r="J346" s="94" t="s">
        <v>268</v>
      </c>
    </row>
    <row r="347" spans="1:10" hidden="1" x14ac:dyDescent="0.2">
      <c r="A347" s="94" t="s">
        <v>265</v>
      </c>
      <c r="B347" s="95">
        <v>2025</v>
      </c>
      <c r="C347" s="95">
        <v>70</v>
      </c>
      <c r="D347" s="94" t="s">
        <v>322</v>
      </c>
      <c r="E347" s="95">
        <v>11</v>
      </c>
      <c r="F347" s="95">
        <v>4</v>
      </c>
      <c r="G347" s="94" t="s">
        <v>270</v>
      </c>
      <c r="H347" s="167">
        <v>315</v>
      </c>
      <c r="I347" s="96">
        <v>0</v>
      </c>
      <c r="J347" s="94" t="s">
        <v>268</v>
      </c>
    </row>
    <row r="348" spans="1:10" hidden="1" x14ac:dyDescent="0.2">
      <c r="A348" s="94" t="s">
        <v>265</v>
      </c>
      <c r="B348" s="95">
        <v>2025</v>
      </c>
      <c r="C348" s="95">
        <v>70</v>
      </c>
      <c r="D348" s="94" t="s">
        <v>322</v>
      </c>
      <c r="E348" s="95">
        <v>11</v>
      </c>
      <c r="F348" s="95">
        <v>6</v>
      </c>
      <c r="G348" s="94" t="s">
        <v>271</v>
      </c>
      <c r="H348" s="167">
        <v>15406</v>
      </c>
      <c r="I348" s="96">
        <v>0</v>
      </c>
      <c r="J348" s="94" t="s">
        <v>268</v>
      </c>
    </row>
    <row r="349" spans="1:10" hidden="1" x14ac:dyDescent="0.2">
      <c r="A349" s="94" t="s">
        <v>265</v>
      </c>
      <c r="B349" s="95">
        <v>2025</v>
      </c>
      <c r="C349" s="95">
        <v>70</v>
      </c>
      <c r="D349" s="94" t="s">
        <v>322</v>
      </c>
      <c r="E349" s="95">
        <v>11</v>
      </c>
      <c r="F349" s="95">
        <v>24</v>
      </c>
      <c r="G349" s="94" t="s">
        <v>272</v>
      </c>
      <c r="H349" s="167">
        <v>830.78</v>
      </c>
      <c r="I349" s="96">
        <v>0</v>
      </c>
      <c r="J349" s="94" t="s">
        <v>268</v>
      </c>
    </row>
    <row r="350" spans="1:10" hidden="1" x14ac:dyDescent="0.2">
      <c r="A350" s="94" t="s">
        <v>265</v>
      </c>
      <c r="B350" s="95">
        <v>2025</v>
      </c>
      <c r="C350" s="95">
        <v>70</v>
      </c>
      <c r="D350" s="94" t="s">
        <v>322</v>
      </c>
      <c r="E350" s="95">
        <v>11</v>
      </c>
      <c r="F350" s="95">
        <v>25</v>
      </c>
      <c r="G350" s="94" t="s">
        <v>273</v>
      </c>
      <c r="H350" s="167">
        <v>154</v>
      </c>
      <c r="I350" s="96">
        <v>0</v>
      </c>
      <c r="J350" s="94" t="s">
        <v>268</v>
      </c>
    </row>
    <row r="351" spans="1:10" hidden="1" x14ac:dyDescent="0.2">
      <c r="A351" s="94" t="s">
        <v>265</v>
      </c>
      <c r="B351" s="95">
        <v>2025</v>
      </c>
      <c r="C351" s="95">
        <v>70</v>
      </c>
      <c r="D351" s="94" t="s">
        <v>322</v>
      </c>
      <c r="E351" s="95">
        <v>11</v>
      </c>
      <c r="F351" s="95">
        <v>51</v>
      </c>
      <c r="G351" s="94" t="s">
        <v>274</v>
      </c>
      <c r="H351" s="167">
        <v>154</v>
      </c>
      <c r="I351" s="96">
        <v>0</v>
      </c>
      <c r="J351" s="94" t="s">
        <v>268</v>
      </c>
    </row>
    <row r="352" spans="1:10" hidden="1" x14ac:dyDescent="0.2">
      <c r="A352" s="94" t="s">
        <v>265</v>
      </c>
      <c r="B352" s="95">
        <v>2025</v>
      </c>
      <c r="C352" s="95">
        <v>70</v>
      </c>
      <c r="D352" s="94" t="s">
        <v>322</v>
      </c>
      <c r="E352" s="95">
        <v>11</v>
      </c>
      <c r="F352" s="95">
        <v>93</v>
      </c>
      <c r="G352" s="94" t="s">
        <v>275</v>
      </c>
      <c r="H352" s="167">
        <v>1443.94</v>
      </c>
      <c r="I352" s="96">
        <v>0</v>
      </c>
      <c r="J352" s="94" t="s">
        <v>268</v>
      </c>
    </row>
    <row r="353" spans="1:10" hidden="1" x14ac:dyDescent="0.2">
      <c r="A353" s="94" t="s">
        <v>265</v>
      </c>
      <c r="B353" s="95">
        <v>2025</v>
      </c>
      <c r="C353" s="95">
        <v>71</v>
      </c>
      <c r="D353" s="94" t="s">
        <v>323</v>
      </c>
      <c r="E353" s="95">
        <v>11</v>
      </c>
      <c r="F353" s="95">
        <v>1</v>
      </c>
      <c r="G353" s="94" t="s">
        <v>267</v>
      </c>
      <c r="H353" s="167">
        <v>13627.7</v>
      </c>
      <c r="I353" s="96">
        <v>0</v>
      </c>
      <c r="J353" s="94" t="s">
        <v>268</v>
      </c>
    </row>
    <row r="354" spans="1:10" hidden="1" x14ac:dyDescent="0.2">
      <c r="A354" s="94" t="s">
        <v>265</v>
      </c>
      <c r="B354" s="95">
        <v>2025</v>
      </c>
      <c r="C354" s="95">
        <v>71</v>
      </c>
      <c r="D354" s="94" t="s">
        <v>323</v>
      </c>
      <c r="E354" s="95">
        <v>11</v>
      </c>
      <c r="F354" s="95">
        <v>3</v>
      </c>
      <c r="G354" s="94" t="s">
        <v>269</v>
      </c>
      <c r="H354" s="167">
        <v>218.45</v>
      </c>
      <c r="I354" s="96">
        <v>0</v>
      </c>
      <c r="J354" s="94" t="s">
        <v>268</v>
      </c>
    </row>
    <row r="355" spans="1:10" hidden="1" x14ac:dyDescent="0.2">
      <c r="A355" s="94" t="s">
        <v>265</v>
      </c>
      <c r="B355" s="95">
        <v>2025</v>
      </c>
      <c r="C355" s="95">
        <v>71</v>
      </c>
      <c r="D355" s="94" t="s">
        <v>323</v>
      </c>
      <c r="E355" s="95">
        <v>11</v>
      </c>
      <c r="F355" s="95">
        <v>4</v>
      </c>
      <c r="G355" s="94" t="s">
        <v>270</v>
      </c>
      <c r="H355" s="167">
        <v>315</v>
      </c>
      <c r="I355" s="96">
        <v>0</v>
      </c>
      <c r="J355" s="94" t="s">
        <v>268</v>
      </c>
    </row>
    <row r="356" spans="1:10" hidden="1" x14ac:dyDescent="0.2">
      <c r="A356" s="94" t="s">
        <v>265</v>
      </c>
      <c r="B356" s="95">
        <v>2025</v>
      </c>
      <c r="C356" s="95">
        <v>71</v>
      </c>
      <c r="D356" s="94" t="s">
        <v>323</v>
      </c>
      <c r="E356" s="95">
        <v>11</v>
      </c>
      <c r="F356" s="95">
        <v>6</v>
      </c>
      <c r="G356" s="94" t="s">
        <v>271</v>
      </c>
      <c r="H356" s="167">
        <v>5840.44</v>
      </c>
      <c r="I356" s="96">
        <v>0</v>
      </c>
      <c r="J356" s="94" t="s">
        <v>268</v>
      </c>
    </row>
    <row r="357" spans="1:10" hidden="1" x14ac:dyDescent="0.2">
      <c r="A357" s="94" t="s">
        <v>265</v>
      </c>
      <c r="B357" s="95">
        <v>2025</v>
      </c>
      <c r="C357" s="95">
        <v>71</v>
      </c>
      <c r="D357" s="94" t="s">
        <v>323</v>
      </c>
      <c r="E357" s="95">
        <v>11</v>
      </c>
      <c r="F357" s="95">
        <v>24</v>
      </c>
      <c r="G357" s="94" t="s">
        <v>272</v>
      </c>
      <c r="H357" s="167">
        <v>5</v>
      </c>
      <c r="I357" s="96">
        <v>0</v>
      </c>
      <c r="J357" s="94" t="s">
        <v>268</v>
      </c>
    </row>
    <row r="358" spans="1:10" hidden="1" x14ac:dyDescent="0.2">
      <c r="A358" s="94" t="s">
        <v>265</v>
      </c>
      <c r="B358" s="95">
        <v>2025</v>
      </c>
      <c r="C358" s="95">
        <v>71</v>
      </c>
      <c r="D358" s="94" t="s">
        <v>323</v>
      </c>
      <c r="E358" s="95">
        <v>11</v>
      </c>
      <c r="F358" s="95">
        <v>25</v>
      </c>
      <c r="G358" s="94" t="s">
        <v>273</v>
      </c>
      <c r="H358" s="167">
        <v>136.77000000000001</v>
      </c>
      <c r="I358" s="96">
        <v>0</v>
      </c>
      <c r="J358" s="94" t="s">
        <v>268</v>
      </c>
    </row>
    <row r="359" spans="1:10" hidden="1" x14ac:dyDescent="0.2">
      <c r="A359" s="94" t="s">
        <v>265</v>
      </c>
      <c r="B359" s="95">
        <v>2025</v>
      </c>
      <c r="C359" s="95">
        <v>71</v>
      </c>
      <c r="D359" s="94" t="s">
        <v>323</v>
      </c>
      <c r="E359" s="95">
        <v>11</v>
      </c>
      <c r="F359" s="95">
        <v>51</v>
      </c>
      <c r="G359" s="94" t="s">
        <v>274</v>
      </c>
      <c r="H359" s="167">
        <v>154</v>
      </c>
      <c r="I359" s="96">
        <v>0</v>
      </c>
      <c r="J359" s="94" t="s">
        <v>268</v>
      </c>
    </row>
    <row r="360" spans="1:10" hidden="1" x14ac:dyDescent="0.2">
      <c r="A360" s="94" t="s">
        <v>265</v>
      </c>
      <c r="B360" s="95">
        <v>2025</v>
      </c>
      <c r="C360" s="95">
        <v>72</v>
      </c>
      <c r="D360" s="94" t="s">
        <v>324</v>
      </c>
      <c r="E360" s="95">
        <v>11</v>
      </c>
      <c r="F360" s="95">
        <v>1</v>
      </c>
      <c r="G360" s="94" t="s">
        <v>267</v>
      </c>
      <c r="H360" s="167">
        <v>61867.32</v>
      </c>
      <c r="I360" s="96">
        <v>0</v>
      </c>
      <c r="J360" s="94" t="s">
        <v>268</v>
      </c>
    </row>
    <row r="361" spans="1:10" hidden="1" x14ac:dyDescent="0.2">
      <c r="A361" s="94" t="s">
        <v>265</v>
      </c>
      <c r="B361" s="95">
        <v>2025</v>
      </c>
      <c r="C361" s="95">
        <v>72</v>
      </c>
      <c r="D361" s="94" t="s">
        <v>324</v>
      </c>
      <c r="E361" s="95">
        <v>11</v>
      </c>
      <c r="F361" s="95">
        <v>3</v>
      </c>
      <c r="G361" s="94" t="s">
        <v>269</v>
      </c>
      <c r="H361" s="167">
        <v>230</v>
      </c>
      <c r="I361" s="96">
        <v>0</v>
      </c>
      <c r="J361" s="94" t="s">
        <v>268</v>
      </c>
    </row>
    <row r="362" spans="1:10" hidden="1" x14ac:dyDescent="0.2">
      <c r="A362" s="94" t="s">
        <v>265</v>
      </c>
      <c r="B362" s="95">
        <v>2025</v>
      </c>
      <c r="C362" s="95">
        <v>72</v>
      </c>
      <c r="D362" s="94" t="s">
        <v>324</v>
      </c>
      <c r="E362" s="95">
        <v>11</v>
      </c>
      <c r="F362" s="95">
        <v>4</v>
      </c>
      <c r="G362" s="94" t="s">
        <v>270</v>
      </c>
      <c r="H362" s="167">
        <v>315</v>
      </c>
      <c r="I362" s="96">
        <v>0</v>
      </c>
      <c r="J362" s="94" t="s">
        <v>268</v>
      </c>
    </row>
    <row r="363" spans="1:10" hidden="1" x14ac:dyDescent="0.2">
      <c r="A363" s="94" t="s">
        <v>265</v>
      </c>
      <c r="B363" s="95">
        <v>2025</v>
      </c>
      <c r="C363" s="95">
        <v>72</v>
      </c>
      <c r="D363" s="94" t="s">
        <v>324</v>
      </c>
      <c r="E363" s="95">
        <v>11</v>
      </c>
      <c r="F363" s="95">
        <v>6</v>
      </c>
      <c r="G363" s="94" t="s">
        <v>271</v>
      </c>
      <c r="H363" s="167">
        <v>26514.57</v>
      </c>
      <c r="I363" s="96">
        <v>0</v>
      </c>
      <c r="J363" s="94" t="s">
        <v>268</v>
      </c>
    </row>
    <row r="364" spans="1:10" x14ac:dyDescent="0.2">
      <c r="A364" s="94" t="s">
        <v>265</v>
      </c>
      <c r="B364" s="95">
        <v>2025</v>
      </c>
      <c r="C364" s="95">
        <v>72</v>
      </c>
      <c r="D364" s="94" t="s">
        <v>324</v>
      </c>
      <c r="E364" s="95">
        <v>11</v>
      </c>
      <c r="F364" s="95">
        <v>15</v>
      </c>
      <c r="G364" s="94" t="s">
        <v>281</v>
      </c>
      <c r="H364" s="167">
        <v>716203.6</v>
      </c>
      <c r="I364" s="96">
        <v>0</v>
      </c>
      <c r="J364" s="94" t="s">
        <v>268</v>
      </c>
    </row>
    <row r="365" spans="1:10" hidden="1" x14ac:dyDescent="0.2">
      <c r="A365" s="94" t="s">
        <v>265</v>
      </c>
      <c r="B365" s="95">
        <v>2025</v>
      </c>
      <c r="C365" s="95">
        <v>72</v>
      </c>
      <c r="D365" s="94" t="s">
        <v>324</v>
      </c>
      <c r="E365" s="95">
        <v>11</v>
      </c>
      <c r="F365" s="95">
        <v>25</v>
      </c>
      <c r="G365" s="94" t="s">
        <v>273</v>
      </c>
      <c r="H365" s="167">
        <v>154</v>
      </c>
      <c r="I365" s="96">
        <v>0</v>
      </c>
      <c r="J365" s="94" t="s">
        <v>268</v>
      </c>
    </row>
    <row r="366" spans="1:10" hidden="1" x14ac:dyDescent="0.2">
      <c r="A366" s="94" t="s">
        <v>265</v>
      </c>
      <c r="B366" s="95">
        <v>2025</v>
      </c>
      <c r="C366" s="95">
        <v>72</v>
      </c>
      <c r="D366" s="94" t="s">
        <v>324</v>
      </c>
      <c r="E366" s="95">
        <v>11</v>
      </c>
      <c r="F366" s="95">
        <v>51</v>
      </c>
      <c r="G366" s="94" t="s">
        <v>274</v>
      </c>
      <c r="H366" s="167">
        <v>154</v>
      </c>
      <c r="I366" s="96">
        <v>0</v>
      </c>
      <c r="J366" s="94" t="s">
        <v>268</v>
      </c>
    </row>
    <row r="367" spans="1:10" x14ac:dyDescent="0.2">
      <c r="A367" s="94" t="s">
        <v>265</v>
      </c>
      <c r="B367" s="95">
        <v>2025</v>
      </c>
      <c r="C367" s="95">
        <v>72</v>
      </c>
      <c r="D367" s="94" t="s">
        <v>324</v>
      </c>
      <c r="E367" s="95">
        <v>11</v>
      </c>
      <c r="F367" s="95">
        <v>61</v>
      </c>
      <c r="G367" s="94" t="s">
        <v>319</v>
      </c>
      <c r="H367" s="167">
        <v>44763.34</v>
      </c>
      <c r="I367" s="96">
        <v>0</v>
      </c>
      <c r="J367" s="94" t="s">
        <v>268</v>
      </c>
    </row>
    <row r="368" spans="1:10" x14ac:dyDescent="0.2">
      <c r="A368" s="94" t="s">
        <v>265</v>
      </c>
      <c r="B368" s="95">
        <v>2025</v>
      </c>
      <c r="C368" s="95">
        <v>72</v>
      </c>
      <c r="D368" s="94" t="s">
        <v>324</v>
      </c>
      <c r="E368" s="95">
        <v>11</v>
      </c>
      <c r="F368" s="95">
        <v>62</v>
      </c>
      <c r="G368" s="94" t="s">
        <v>282</v>
      </c>
      <c r="H368" s="167">
        <v>984177.02</v>
      </c>
      <c r="I368" s="96">
        <v>0</v>
      </c>
      <c r="J368" s="94" t="s">
        <v>268</v>
      </c>
    </row>
    <row r="369" spans="1:10" hidden="1" x14ac:dyDescent="0.2">
      <c r="A369" s="94" t="s">
        <v>265</v>
      </c>
      <c r="B369" s="95">
        <v>2025</v>
      </c>
      <c r="C369" s="95">
        <v>72</v>
      </c>
      <c r="D369" s="94" t="s">
        <v>324</v>
      </c>
      <c r="E369" s="95">
        <v>11</v>
      </c>
      <c r="F369" s="95">
        <v>93</v>
      </c>
      <c r="G369" s="94" t="s">
        <v>275</v>
      </c>
      <c r="H369" s="167">
        <v>7200.42</v>
      </c>
      <c r="I369" s="96">
        <v>0</v>
      </c>
      <c r="J369" s="94" t="s">
        <v>268</v>
      </c>
    </row>
    <row r="370" spans="1:10" hidden="1" x14ac:dyDescent="0.2">
      <c r="A370" s="94" t="s">
        <v>265</v>
      </c>
      <c r="B370" s="95">
        <v>2025</v>
      </c>
      <c r="C370" s="95">
        <v>73</v>
      </c>
      <c r="D370" s="94" t="s">
        <v>325</v>
      </c>
      <c r="E370" s="95">
        <v>11</v>
      </c>
      <c r="F370" s="95">
        <v>1</v>
      </c>
      <c r="G370" s="94" t="s">
        <v>267</v>
      </c>
      <c r="H370" s="167">
        <v>38908.33</v>
      </c>
      <c r="I370" s="96">
        <v>0</v>
      </c>
      <c r="J370" s="94" t="s">
        <v>268</v>
      </c>
    </row>
    <row r="371" spans="1:10" hidden="1" x14ac:dyDescent="0.2">
      <c r="A371" s="94" t="s">
        <v>265</v>
      </c>
      <c r="B371" s="95">
        <v>2025</v>
      </c>
      <c r="C371" s="95">
        <v>73</v>
      </c>
      <c r="D371" s="94" t="s">
        <v>325</v>
      </c>
      <c r="E371" s="95">
        <v>11</v>
      </c>
      <c r="F371" s="95">
        <v>3</v>
      </c>
      <c r="G371" s="94" t="s">
        <v>269</v>
      </c>
      <c r="H371" s="167">
        <v>230</v>
      </c>
      <c r="I371" s="96">
        <v>0</v>
      </c>
      <c r="J371" s="94" t="s">
        <v>268</v>
      </c>
    </row>
    <row r="372" spans="1:10" hidden="1" x14ac:dyDescent="0.2">
      <c r="A372" s="94" t="s">
        <v>265</v>
      </c>
      <c r="B372" s="95">
        <v>2025</v>
      </c>
      <c r="C372" s="95">
        <v>73</v>
      </c>
      <c r="D372" s="94" t="s">
        <v>325</v>
      </c>
      <c r="E372" s="95">
        <v>11</v>
      </c>
      <c r="F372" s="95">
        <v>4</v>
      </c>
      <c r="G372" s="94" t="s">
        <v>270</v>
      </c>
      <c r="H372" s="167">
        <v>315</v>
      </c>
      <c r="I372" s="96">
        <v>0</v>
      </c>
      <c r="J372" s="94" t="s">
        <v>268</v>
      </c>
    </row>
    <row r="373" spans="1:10" hidden="1" x14ac:dyDescent="0.2">
      <c r="A373" s="94" t="s">
        <v>265</v>
      </c>
      <c r="B373" s="95">
        <v>2025</v>
      </c>
      <c r="C373" s="95">
        <v>73</v>
      </c>
      <c r="D373" s="94" t="s">
        <v>325</v>
      </c>
      <c r="E373" s="95">
        <v>11</v>
      </c>
      <c r="F373" s="95">
        <v>6</v>
      </c>
      <c r="G373" s="94" t="s">
        <v>271</v>
      </c>
      <c r="H373" s="167">
        <v>16675</v>
      </c>
      <c r="I373" s="96">
        <v>0</v>
      </c>
      <c r="J373" s="94" t="s">
        <v>268</v>
      </c>
    </row>
    <row r="374" spans="1:10" hidden="1" x14ac:dyDescent="0.2">
      <c r="A374" s="94" t="s">
        <v>265</v>
      </c>
      <c r="B374" s="95">
        <v>2025</v>
      </c>
      <c r="C374" s="95">
        <v>73</v>
      </c>
      <c r="D374" s="94" t="s">
        <v>325</v>
      </c>
      <c r="E374" s="95">
        <v>11</v>
      </c>
      <c r="F374" s="95">
        <v>24</v>
      </c>
      <c r="G374" s="94" t="s">
        <v>272</v>
      </c>
      <c r="H374" s="167">
        <v>1000</v>
      </c>
      <c r="I374" s="96">
        <v>0</v>
      </c>
      <c r="J374" s="94" t="s">
        <v>268</v>
      </c>
    </row>
    <row r="375" spans="1:10" hidden="1" x14ac:dyDescent="0.2">
      <c r="A375" s="94" t="s">
        <v>265</v>
      </c>
      <c r="B375" s="95">
        <v>2025</v>
      </c>
      <c r="C375" s="95">
        <v>73</v>
      </c>
      <c r="D375" s="94" t="s">
        <v>325</v>
      </c>
      <c r="E375" s="95">
        <v>11</v>
      </c>
      <c r="F375" s="95">
        <v>25</v>
      </c>
      <c r="G375" s="94" t="s">
        <v>273</v>
      </c>
      <c r="H375" s="167">
        <v>154</v>
      </c>
      <c r="I375" s="96">
        <v>0</v>
      </c>
      <c r="J375" s="94" t="s">
        <v>268</v>
      </c>
    </row>
    <row r="376" spans="1:10" hidden="1" x14ac:dyDescent="0.2">
      <c r="A376" s="94" t="s">
        <v>265</v>
      </c>
      <c r="B376" s="95">
        <v>2025</v>
      </c>
      <c r="C376" s="95">
        <v>73</v>
      </c>
      <c r="D376" s="94" t="s">
        <v>325</v>
      </c>
      <c r="E376" s="95">
        <v>11</v>
      </c>
      <c r="F376" s="95">
        <v>51</v>
      </c>
      <c r="G376" s="94" t="s">
        <v>274</v>
      </c>
      <c r="H376" s="167">
        <v>154</v>
      </c>
      <c r="I376" s="96">
        <v>0</v>
      </c>
      <c r="J376" s="94" t="s">
        <v>268</v>
      </c>
    </row>
    <row r="377" spans="1:10" hidden="1" x14ac:dyDescent="0.2">
      <c r="A377" s="94" t="s">
        <v>265</v>
      </c>
      <c r="B377" s="95">
        <v>2025</v>
      </c>
      <c r="C377" s="95">
        <v>73</v>
      </c>
      <c r="D377" s="94" t="s">
        <v>325</v>
      </c>
      <c r="E377" s="95">
        <v>11</v>
      </c>
      <c r="F377" s="95">
        <v>93</v>
      </c>
      <c r="G377" s="94" t="s">
        <v>275</v>
      </c>
      <c r="H377" s="167">
        <v>2238.0100000000002</v>
      </c>
      <c r="I377" s="96">
        <v>0</v>
      </c>
      <c r="J377" s="94" t="s">
        <v>268</v>
      </c>
    </row>
    <row r="378" spans="1:10" hidden="1" x14ac:dyDescent="0.2">
      <c r="A378" s="94" t="s">
        <v>265</v>
      </c>
      <c r="B378" s="95">
        <v>2025</v>
      </c>
      <c r="C378" s="95">
        <v>74</v>
      </c>
      <c r="D378" s="94" t="s">
        <v>326</v>
      </c>
      <c r="E378" s="95">
        <v>11</v>
      </c>
      <c r="F378" s="95">
        <v>1</v>
      </c>
      <c r="G378" s="94" t="s">
        <v>267</v>
      </c>
      <c r="H378" s="167">
        <v>23513.119999999999</v>
      </c>
      <c r="I378" s="96">
        <v>0</v>
      </c>
      <c r="J378" s="94" t="s">
        <v>268</v>
      </c>
    </row>
    <row r="379" spans="1:10" hidden="1" x14ac:dyDescent="0.2">
      <c r="A379" s="94" t="s">
        <v>265</v>
      </c>
      <c r="B379" s="95">
        <v>2025</v>
      </c>
      <c r="C379" s="95">
        <v>74</v>
      </c>
      <c r="D379" s="94" t="s">
        <v>326</v>
      </c>
      <c r="E379" s="95">
        <v>11</v>
      </c>
      <c r="F379" s="95">
        <v>3</v>
      </c>
      <c r="G379" s="94" t="s">
        <v>269</v>
      </c>
      <c r="H379" s="167">
        <v>281.10000000000002</v>
      </c>
      <c r="I379" s="96">
        <v>0</v>
      </c>
      <c r="J379" s="94" t="s">
        <v>268</v>
      </c>
    </row>
    <row r="380" spans="1:10" hidden="1" x14ac:dyDescent="0.2">
      <c r="A380" s="94" t="s">
        <v>265</v>
      </c>
      <c r="B380" s="95">
        <v>2025</v>
      </c>
      <c r="C380" s="95">
        <v>74</v>
      </c>
      <c r="D380" s="94" t="s">
        <v>326</v>
      </c>
      <c r="E380" s="95">
        <v>11</v>
      </c>
      <c r="F380" s="95">
        <v>4</v>
      </c>
      <c r="G380" s="94" t="s">
        <v>270</v>
      </c>
      <c r="H380" s="167">
        <v>315</v>
      </c>
      <c r="I380" s="96">
        <v>0</v>
      </c>
      <c r="J380" s="94" t="s">
        <v>268</v>
      </c>
    </row>
    <row r="381" spans="1:10" hidden="1" x14ac:dyDescent="0.2">
      <c r="A381" s="94" t="s">
        <v>265</v>
      </c>
      <c r="B381" s="95">
        <v>2025</v>
      </c>
      <c r="C381" s="95">
        <v>74</v>
      </c>
      <c r="D381" s="94" t="s">
        <v>326</v>
      </c>
      <c r="E381" s="95">
        <v>11</v>
      </c>
      <c r="F381" s="95">
        <v>6</v>
      </c>
      <c r="G381" s="94" t="s">
        <v>271</v>
      </c>
      <c r="H381" s="167">
        <v>10077.049999999999</v>
      </c>
      <c r="I381" s="96">
        <v>0</v>
      </c>
      <c r="J381" s="94" t="s">
        <v>268</v>
      </c>
    </row>
    <row r="382" spans="1:10" hidden="1" x14ac:dyDescent="0.2">
      <c r="A382" s="94" t="s">
        <v>265</v>
      </c>
      <c r="B382" s="95">
        <v>2025</v>
      </c>
      <c r="C382" s="95">
        <v>74</v>
      </c>
      <c r="D382" s="94" t="s">
        <v>326</v>
      </c>
      <c r="E382" s="95">
        <v>11</v>
      </c>
      <c r="F382" s="95">
        <v>24</v>
      </c>
      <c r="G382" s="94" t="s">
        <v>272</v>
      </c>
      <c r="H382" s="167">
        <v>999.27</v>
      </c>
      <c r="I382" s="96">
        <v>0</v>
      </c>
      <c r="J382" s="94" t="s">
        <v>268</v>
      </c>
    </row>
    <row r="383" spans="1:10" hidden="1" x14ac:dyDescent="0.2">
      <c r="A383" s="94" t="s">
        <v>265</v>
      </c>
      <c r="B383" s="95">
        <v>2025</v>
      </c>
      <c r="C383" s="95">
        <v>74</v>
      </c>
      <c r="D383" s="94" t="s">
        <v>326</v>
      </c>
      <c r="E383" s="95">
        <v>11</v>
      </c>
      <c r="F383" s="95">
        <v>25</v>
      </c>
      <c r="G383" s="94" t="s">
        <v>273</v>
      </c>
      <c r="H383" s="167">
        <v>223.39</v>
      </c>
      <c r="I383" s="96">
        <v>0</v>
      </c>
      <c r="J383" s="94" t="s">
        <v>268</v>
      </c>
    </row>
    <row r="384" spans="1:10" hidden="1" x14ac:dyDescent="0.2">
      <c r="A384" s="94" t="s">
        <v>265</v>
      </c>
      <c r="B384" s="95">
        <v>2025</v>
      </c>
      <c r="C384" s="95">
        <v>74</v>
      </c>
      <c r="D384" s="94" t="s">
        <v>326</v>
      </c>
      <c r="E384" s="95">
        <v>11</v>
      </c>
      <c r="F384" s="95">
        <v>51</v>
      </c>
      <c r="G384" s="94" t="s">
        <v>274</v>
      </c>
      <c r="H384" s="167">
        <v>154</v>
      </c>
      <c r="I384" s="96">
        <v>0</v>
      </c>
      <c r="J384" s="94" t="s">
        <v>268</v>
      </c>
    </row>
    <row r="385" spans="1:10" hidden="1" x14ac:dyDescent="0.2">
      <c r="A385" s="94" t="s">
        <v>265</v>
      </c>
      <c r="B385" s="95">
        <v>2025</v>
      </c>
      <c r="C385" s="95">
        <v>76</v>
      </c>
      <c r="D385" s="94" t="s">
        <v>327</v>
      </c>
      <c r="E385" s="95">
        <v>11</v>
      </c>
      <c r="F385" s="95">
        <v>1</v>
      </c>
      <c r="G385" s="94" t="s">
        <v>267</v>
      </c>
      <c r="H385" s="167">
        <v>32179.88</v>
      </c>
      <c r="I385" s="96">
        <v>0</v>
      </c>
      <c r="J385" s="94" t="s">
        <v>268</v>
      </c>
    </row>
    <row r="386" spans="1:10" hidden="1" x14ac:dyDescent="0.2">
      <c r="A386" s="94" t="s">
        <v>265</v>
      </c>
      <c r="B386" s="95">
        <v>2025</v>
      </c>
      <c r="C386" s="95">
        <v>76</v>
      </c>
      <c r="D386" s="94" t="s">
        <v>327</v>
      </c>
      <c r="E386" s="95">
        <v>11</v>
      </c>
      <c r="F386" s="95">
        <v>3</v>
      </c>
      <c r="G386" s="94" t="s">
        <v>269</v>
      </c>
      <c r="H386" s="167">
        <v>304.01</v>
      </c>
      <c r="I386" s="96">
        <v>0</v>
      </c>
      <c r="J386" s="94" t="s">
        <v>268</v>
      </c>
    </row>
    <row r="387" spans="1:10" hidden="1" x14ac:dyDescent="0.2">
      <c r="A387" s="94" t="s">
        <v>265</v>
      </c>
      <c r="B387" s="95">
        <v>2025</v>
      </c>
      <c r="C387" s="95">
        <v>76</v>
      </c>
      <c r="D387" s="94" t="s">
        <v>327</v>
      </c>
      <c r="E387" s="95">
        <v>11</v>
      </c>
      <c r="F387" s="95">
        <v>4</v>
      </c>
      <c r="G387" s="94" t="s">
        <v>270</v>
      </c>
      <c r="H387" s="167">
        <v>410</v>
      </c>
      <c r="I387" s="96">
        <v>0</v>
      </c>
      <c r="J387" s="94" t="s">
        <v>268</v>
      </c>
    </row>
    <row r="388" spans="1:10" hidden="1" x14ac:dyDescent="0.2">
      <c r="A388" s="94" t="s">
        <v>265</v>
      </c>
      <c r="B388" s="95">
        <v>2025</v>
      </c>
      <c r="C388" s="95">
        <v>76</v>
      </c>
      <c r="D388" s="94" t="s">
        <v>327</v>
      </c>
      <c r="E388" s="95">
        <v>11</v>
      </c>
      <c r="F388" s="95">
        <v>6</v>
      </c>
      <c r="G388" s="94" t="s">
        <v>271</v>
      </c>
      <c r="H388" s="167">
        <v>13791.38</v>
      </c>
      <c r="I388" s="96">
        <v>0</v>
      </c>
      <c r="J388" s="94" t="s">
        <v>268</v>
      </c>
    </row>
    <row r="389" spans="1:10" hidden="1" x14ac:dyDescent="0.2">
      <c r="A389" s="94" t="s">
        <v>265</v>
      </c>
      <c r="B389" s="95">
        <v>2025</v>
      </c>
      <c r="C389" s="95">
        <v>76</v>
      </c>
      <c r="D389" s="94" t="s">
        <v>327</v>
      </c>
      <c r="E389" s="95">
        <v>11</v>
      </c>
      <c r="F389" s="95">
        <v>24</v>
      </c>
      <c r="G389" s="94" t="s">
        <v>272</v>
      </c>
      <c r="H389" s="167">
        <v>985.3</v>
      </c>
      <c r="I389" s="96">
        <v>0</v>
      </c>
      <c r="J389" s="94" t="s">
        <v>268</v>
      </c>
    </row>
    <row r="390" spans="1:10" hidden="1" x14ac:dyDescent="0.2">
      <c r="A390" s="94" t="s">
        <v>265</v>
      </c>
      <c r="B390" s="95">
        <v>2025</v>
      </c>
      <c r="C390" s="95">
        <v>76</v>
      </c>
      <c r="D390" s="94" t="s">
        <v>327</v>
      </c>
      <c r="E390" s="95">
        <v>11</v>
      </c>
      <c r="F390" s="95">
        <v>25</v>
      </c>
      <c r="G390" s="94" t="s">
        <v>273</v>
      </c>
      <c r="H390" s="167">
        <v>253.96</v>
      </c>
      <c r="I390" s="96">
        <v>0</v>
      </c>
      <c r="J390" s="94" t="s">
        <v>268</v>
      </c>
    </row>
    <row r="391" spans="1:10" hidden="1" x14ac:dyDescent="0.2">
      <c r="A391" s="94" t="s">
        <v>265</v>
      </c>
      <c r="B391" s="95">
        <v>2025</v>
      </c>
      <c r="C391" s="95">
        <v>76</v>
      </c>
      <c r="D391" s="94" t="s">
        <v>327</v>
      </c>
      <c r="E391" s="95">
        <v>11</v>
      </c>
      <c r="F391" s="95">
        <v>51</v>
      </c>
      <c r="G391" s="94" t="s">
        <v>274</v>
      </c>
      <c r="H391" s="167">
        <v>154</v>
      </c>
      <c r="I391" s="96">
        <v>0</v>
      </c>
      <c r="J391" s="94" t="s">
        <v>268</v>
      </c>
    </row>
    <row r="392" spans="1:10" hidden="1" x14ac:dyDescent="0.2">
      <c r="A392" s="94" t="s">
        <v>265</v>
      </c>
      <c r="B392" s="95">
        <v>2025</v>
      </c>
      <c r="C392" s="95">
        <v>76</v>
      </c>
      <c r="D392" s="94" t="s">
        <v>327</v>
      </c>
      <c r="E392" s="95">
        <v>11</v>
      </c>
      <c r="F392" s="95">
        <v>93</v>
      </c>
      <c r="G392" s="94" t="s">
        <v>275</v>
      </c>
      <c r="H392" s="167">
        <v>657.79</v>
      </c>
      <c r="I392" s="96">
        <v>0</v>
      </c>
      <c r="J392" s="94" t="s">
        <v>268</v>
      </c>
    </row>
    <row r="393" spans="1:10" hidden="1" x14ac:dyDescent="0.2">
      <c r="A393" s="94" t="s">
        <v>265</v>
      </c>
      <c r="B393" s="95">
        <v>2025</v>
      </c>
      <c r="C393" s="95">
        <v>77</v>
      </c>
      <c r="D393" s="94" t="s">
        <v>328</v>
      </c>
      <c r="E393" s="95">
        <v>11</v>
      </c>
      <c r="F393" s="95">
        <v>1</v>
      </c>
      <c r="G393" s="94" t="s">
        <v>267</v>
      </c>
      <c r="H393" s="167">
        <v>38266.67</v>
      </c>
      <c r="I393" s="96">
        <v>0</v>
      </c>
      <c r="J393" s="94" t="s">
        <v>268</v>
      </c>
    </row>
    <row r="394" spans="1:10" hidden="1" x14ac:dyDescent="0.2">
      <c r="A394" s="94" t="s">
        <v>265</v>
      </c>
      <c r="B394" s="95">
        <v>2025</v>
      </c>
      <c r="C394" s="95">
        <v>77</v>
      </c>
      <c r="D394" s="94" t="s">
        <v>328</v>
      </c>
      <c r="E394" s="95">
        <v>11</v>
      </c>
      <c r="F394" s="95">
        <v>3</v>
      </c>
      <c r="G394" s="94" t="s">
        <v>269</v>
      </c>
      <c r="H394" s="167">
        <v>230</v>
      </c>
      <c r="I394" s="96">
        <v>0</v>
      </c>
      <c r="J394" s="94" t="s">
        <v>268</v>
      </c>
    </row>
    <row r="395" spans="1:10" hidden="1" x14ac:dyDescent="0.2">
      <c r="A395" s="94" t="s">
        <v>265</v>
      </c>
      <c r="B395" s="95">
        <v>2025</v>
      </c>
      <c r="C395" s="95">
        <v>77</v>
      </c>
      <c r="D395" s="94" t="s">
        <v>328</v>
      </c>
      <c r="E395" s="95">
        <v>11</v>
      </c>
      <c r="F395" s="95">
        <v>4</v>
      </c>
      <c r="G395" s="94" t="s">
        <v>270</v>
      </c>
      <c r="H395" s="167">
        <v>315</v>
      </c>
      <c r="I395" s="96">
        <v>0</v>
      </c>
      <c r="J395" s="94" t="s">
        <v>268</v>
      </c>
    </row>
    <row r="396" spans="1:10" hidden="1" x14ac:dyDescent="0.2">
      <c r="A396" s="94" t="s">
        <v>265</v>
      </c>
      <c r="B396" s="95">
        <v>2025</v>
      </c>
      <c r="C396" s="95">
        <v>77</v>
      </c>
      <c r="D396" s="94" t="s">
        <v>328</v>
      </c>
      <c r="E396" s="95">
        <v>11</v>
      </c>
      <c r="F396" s="95">
        <v>6</v>
      </c>
      <c r="G396" s="94" t="s">
        <v>271</v>
      </c>
      <c r="H396" s="167">
        <v>16400</v>
      </c>
      <c r="I396" s="96">
        <v>0</v>
      </c>
      <c r="J396" s="94" t="s">
        <v>268</v>
      </c>
    </row>
    <row r="397" spans="1:10" x14ac:dyDescent="0.2">
      <c r="A397" s="94" t="s">
        <v>265</v>
      </c>
      <c r="B397" s="95">
        <v>2025</v>
      </c>
      <c r="C397" s="95">
        <v>77</v>
      </c>
      <c r="D397" s="94" t="s">
        <v>328</v>
      </c>
      <c r="E397" s="95">
        <v>11</v>
      </c>
      <c r="F397" s="95">
        <v>15</v>
      </c>
      <c r="G397" s="94" t="s">
        <v>281</v>
      </c>
      <c r="H397" s="167">
        <v>150435.85</v>
      </c>
      <c r="I397" s="96">
        <v>0</v>
      </c>
      <c r="J397" s="94" t="s">
        <v>268</v>
      </c>
    </row>
    <row r="398" spans="1:10" hidden="1" x14ac:dyDescent="0.2">
      <c r="A398" s="94" t="s">
        <v>265</v>
      </c>
      <c r="B398" s="95">
        <v>2025</v>
      </c>
      <c r="C398" s="95">
        <v>77</v>
      </c>
      <c r="D398" s="94" t="s">
        <v>328</v>
      </c>
      <c r="E398" s="95">
        <v>11</v>
      </c>
      <c r="F398" s="95">
        <v>24</v>
      </c>
      <c r="G398" s="94" t="s">
        <v>272</v>
      </c>
      <c r="H398" s="167">
        <v>997</v>
      </c>
      <c r="I398" s="96">
        <v>0</v>
      </c>
      <c r="J398" s="94" t="s">
        <v>268</v>
      </c>
    </row>
    <row r="399" spans="1:10" hidden="1" x14ac:dyDescent="0.2">
      <c r="A399" s="94" t="s">
        <v>265</v>
      </c>
      <c r="B399" s="95">
        <v>2025</v>
      </c>
      <c r="C399" s="95">
        <v>77</v>
      </c>
      <c r="D399" s="94" t="s">
        <v>328</v>
      </c>
      <c r="E399" s="95">
        <v>11</v>
      </c>
      <c r="F399" s="95">
        <v>25</v>
      </c>
      <c r="G399" s="94" t="s">
        <v>273</v>
      </c>
      <c r="H399" s="167">
        <v>154</v>
      </c>
      <c r="I399" s="96">
        <v>0</v>
      </c>
      <c r="J399" s="94" t="s">
        <v>268</v>
      </c>
    </row>
    <row r="400" spans="1:10" hidden="1" x14ac:dyDescent="0.2">
      <c r="A400" s="94" t="s">
        <v>265</v>
      </c>
      <c r="B400" s="95">
        <v>2025</v>
      </c>
      <c r="C400" s="95">
        <v>77</v>
      </c>
      <c r="D400" s="94" t="s">
        <v>328</v>
      </c>
      <c r="E400" s="95">
        <v>11</v>
      </c>
      <c r="F400" s="95">
        <v>51</v>
      </c>
      <c r="G400" s="94" t="s">
        <v>274</v>
      </c>
      <c r="H400" s="167">
        <v>154</v>
      </c>
      <c r="I400" s="96">
        <v>0</v>
      </c>
      <c r="J400" s="94" t="s">
        <v>268</v>
      </c>
    </row>
    <row r="401" spans="1:10" x14ac:dyDescent="0.2">
      <c r="A401" s="94" t="s">
        <v>265</v>
      </c>
      <c r="B401" s="95">
        <v>2025</v>
      </c>
      <c r="C401" s="95">
        <v>77</v>
      </c>
      <c r="D401" s="94" t="s">
        <v>328</v>
      </c>
      <c r="E401" s="95">
        <v>11</v>
      </c>
      <c r="F401" s="95">
        <v>62</v>
      </c>
      <c r="G401" s="94" t="s">
        <v>282</v>
      </c>
      <c r="H401" s="167">
        <v>184913.08</v>
      </c>
      <c r="I401" s="96">
        <v>0</v>
      </c>
      <c r="J401" s="94" t="s">
        <v>268</v>
      </c>
    </row>
    <row r="402" spans="1:10" hidden="1" x14ac:dyDescent="0.2">
      <c r="A402" s="94" t="s">
        <v>265</v>
      </c>
      <c r="B402" s="95">
        <v>2025</v>
      </c>
      <c r="C402" s="95">
        <v>77</v>
      </c>
      <c r="D402" s="94" t="s">
        <v>328</v>
      </c>
      <c r="E402" s="95">
        <v>11</v>
      </c>
      <c r="F402" s="95">
        <v>93</v>
      </c>
      <c r="G402" s="94" t="s">
        <v>275</v>
      </c>
      <c r="H402" s="167">
        <v>2099.31</v>
      </c>
      <c r="I402" s="96">
        <v>0</v>
      </c>
      <c r="J402" s="94" t="s">
        <v>268</v>
      </c>
    </row>
    <row r="403" spans="1:10" hidden="1" x14ac:dyDescent="0.2">
      <c r="A403" s="94" t="s">
        <v>265</v>
      </c>
      <c r="B403" s="95">
        <v>2025</v>
      </c>
      <c r="C403" s="95">
        <v>78</v>
      </c>
      <c r="D403" s="94" t="s">
        <v>329</v>
      </c>
      <c r="E403" s="95">
        <v>11</v>
      </c>
      <c r="F403" s="95">
        <v>1</v>
      </c>
      <c r="G403" s="94" t="s">
        <v>267</v>
      </c>
      <c r="H403" s="167">
        <v>28747.13</v>
      </c>
      <c r="I403" s="96">
        <v>0</v>
      </c>
      <c r="J403" s="94" t="s">
        <v>268</v>
      </c>
    </row>
    <row r="404" spans="1:10" hidden="1" x14ac:dyDescent="0.2">
      <c r="A404" s="94" t="s">
        <v>265</v>
      </c>
      <c r="B404" s="95">
        <v>2025</v>
      </c>
      <c r="C404" s="95">
        <v>78</v>
      </c>
      <c r="D404" s="94" t="s">
        <v>329</v>
      </c>
      <c r="E404" s="95">
        <v>11</v>
      </c>
      <c r="F404" s="95">
        <v>3</v>
      </c>
      <c r="G404" s="94" t="s">
        <v>269</v>
      </c>
      <c r="H404" s="167">
        <v>281.12</v>
      </c>
      <c r="I404" s="96">
        <v>0</v>
      </c>
      <c r="J404" s="94" t="s">
        <v>268</v>
      </c>
    </row>
    <row r="405" spans="1:10" hidden="1" x14ac:dyDescent="0.2">
      <c r="A405" s="94" t="s">
        <v>265</v>
      </c>
      <c r="B405" s="95">
        <v>2025</v>
      </c>
      <c r="C405" s="95">
        <v>78</v>
      </c>
      <c r="D405" s="94" t="s">
        <v>329</v>
      </c>
      <c r="E405" s="95">
        <v>11</v>
      </c>
      <c r="F405" s="95">
        <v>4</v>
      </c>
      <c r="G405" s="94" t="s">
        <v>270</v>
      </c>
      <c r="H405" s="167">
        <v>315</v>
      </c>
      <c r="I405" s="96">
        <v>0</v>
      </c>
      <c r="J405" s="94" t="s">
        <v>268</v>
      </c>
    </row>
    <row r="406" spans="1:10" hidden="1" x14ac:dyDescent="0.2">
      <c r="A406" s="94" t="s">
        <v>265</v>
      </c>
      <c r="B406" s="95">
        <v>2025</v>
      </c>
      <c r="C406" s="95">
        <v>78</v>
      </c>
      <c r="D406" s="94" t="s">
        <v>329</v>
      </c>
      <c r="E406" s="95">
        <v>11</v>
      </c>
      <c r="F406" s="95">
        <v>6</v>
      </c>
      <c r="G406" s="94" t="s">
        <v>271</v>
      </c>
      <c r="H406" s="167">
        <v>12320.2</v>
      </c>
      <c r="I406" s="96">
        <v>0</v>
      </c>
      <c r="J406" s="94" t="s">
        <v>268</v>
      </c>
    </row>
    <row r="407" spans="1:10" hidden="1" x14ac:dyDescent="0.2">
      <c r="A407" s="94" t="s">
        <v>265</v>
      </c>
      <c r="B407" s="95">
        <v>2025</v>
      </c>
      <c r="C407" s="95">
        <v>78</v>
      </c>
      <c r="D407" s="94" t="s">
        <v>329</v>
      </c>
      <c r="E407" s="95">
        <v>11</v>
      </c>
      <c r="F407" s="95">
        <v>24</v>
      </c>
      <c r="G407" s="94" t="s">
        <v>272</v>
      </c>
      <c r="H407" s="167">
        <v>1000</v>
      </c>
      <c r="I407" s="96">
        <v>0</v>
      </c>
      <c r="J407" s="94" t="s">
        <v>268</v>
      </c>
    </row>
    <row r="408" spans="1:10" hidden="1" x14ac:dyDescent="0.2">
      <c r="A408" s="94" t="s">
        <v>265</v>
      </c>
      <c r="B408" s="95">
        <v>2025</v>
      </c>
      <c r="C408" s="95">
        <v>78</v>
      </c>
      <c r="D408" s="94" t="s">
        <v>329</v>
      </c>
      <c r="E408" s="95">
        <v>11</v>
      </c>
      <c r="F408" s="95">
        <v>25</v>
      </c>
      <c r="G408" s="94" t="s">
        <v>273</v>
      </c>
      <c r="H408" s="167">
        <v>223.37</v>
      </c>
      <c r="I408" s="96">
        <v>0</v>
      </c>
      <c r="J408" s="94" t="s">
        <v>268</v>
      </c>
    </row>
    <row r="409" spans="1:10" hidden="1" x14ac:dyDescent="0.2">
      <c r="A409" s="94" t="s">
        <v>265</v>
      </c>
      <c r="B409" s="95">
        <v>2025</v>
      </c>
      <c r="C409" s="95">
        <v>78</v>
      </c>
      <c r="D409" s="94" t="s">
        <v>329</v>
      </c>
      <c r="E409" s="95">
        <v>11</v>
      </c>
      <c r="F409" s="95">
        <v>51</v>
      </c>
      <c r="G409" s="94" t="s">
        <v>274</v>
      </c>
      <c r="H409" s="167">
        <v>154</v>
      </c>
      <c r="I409" s="96">
        <v>0</v>
      </c>
      <c r="J409" s="94" t="s">
        <v>268</v>
      </c>
    </row>
    <row r="410" spans="1:10" hidden="1" x14ac:dyDescent="0.2">
      <c r="A410" s="94" t="s">
        <v>265</v>
      </c>
      <c r="B410" s="95">
        <v>2025</v>
      </c>
      <c r="C410" s="95">
        <v>78</v>
      </c>
      <c r="D410" s="94" t="s">
        <v>329</v>
      </c>
      <c r="E410" s="95">
        <v>11</v>
      </c>
      <c r="F410" s="95">
        <v>93</v>
      </c>
      <c r="G410" s="94" t="s">
        <v>275</v>
      </c>
      <c r="H410" s="167">
        <v>172.63</v>
      </c>
      <c r="I410" s="96">
        <v>0</v>
      </c>
      <c r="J410" s="94" t="s">
        <v>268</v>
      </c>
    </row>
    <row r="411" spans="1:10" hidden="1" x14ac:dyDescent="0.2">
      <c r="A411" s="94" t="s">
        <v>265</v>
      </c>
      <c r="B411" s="95">
        <v>2025</v>
      </c>
      <c r="C411" s="95">
        <v>80</v>
      </c>
      <c r="D411" s="94" t="s">
        <v>330</v>
      </c>
      <c r="E411" s="95">
        <v>11</v>
      </c>
      <c r="F411" s="95">
        <v>1</v>
      </c>
      <c r="G411" s="94" t="s">
        <v>267</v>
      </c>
      <c r="H411" s="167">
        <v>41883.33</v>
      </c>
      <c r="I411" s="96">
        <v>0</v>
      </c>
      <c r="J411" s="94" t="s">
        <v>268</v>
      </c>
    </row>
    <row r="412" spans="1:10" hidden="1" x14ac:dyDescent="0.2">
      <c r="A412" s="94" t="s">
        <v>265</v>
      </c>
      <c r="B412" s="95">
        <v>2025</v>
      </c>
      <c r="C412" s="95">
        <v>80</v>
      </c>
      <c r="D412" s="94" t="s">
        <v>330</v>
      </c>
      <c r="E412" s="95">
        <v>11</v>
      </c>
      <c r="F412" s="95">
        <v>3</v>
      </c>
      <c r="G412" s="94" t="s">
        <v>269</v>
      </c>
      <c r="H412" s="167">
        <v>230</v>
      </c>
      <c r="I412" s="96">
        <v>0</v>
      </c>
      <c r="J412" s="94" t="s">
        <v>268</v>
      </c>
    </row>
    <row r="413" spans="1:10" hidden="1" x14ac:dyDescent="0.2">
      <c r="A413" s="94" t="s">
        <v>265</v>
      </c>
      <c r="B413" s="95">
        <v>2025</v>
      </c>
      <c r="C413" s="95">
        <v>80</v>
      </c>
      <c r="D413" s="94" t="s">
        <v>330</v>
      </c>
      <c r="E413" s="95">
        <v>11</v>
      </c>
      <c r="F413" s="95">
        <v>4</v>
      </c>
      <c r="G413" s="94" t="s">
        <v>270</v>
      </c>
      <c r="H413" s="167">
        <v>315</v>
      </c>
      <c r="I413" s="96">
        <v>0</v>
      </c>
      <c r="J413" s="94" t="s">
        <v>268</v>
      </c>
    </row>
    <row r="414" spans="1:10" hidden="1" x14ac:dyDescent="0.2">
      <c r="A414" s="94" t="s">
        <v>265</v>
      </c>
      <c r="B414" s="95">
        <v>2025</v>
      </c>
      <c r="C414" s="95">
        <v>80</v>
      </c>
      <c r="D414" s="94" t="s">
        <v>330</v>
      </c>
      <c r="E414" s="95">
        <v>11</v>
      </c>
      <c r="F414" s="95">
        <v>6</v>
      </c>
      <c r="G414" s="94" t="s">
        <v>271</v>
      </c>
      <c r="H414" s="167">
        <v>17950</v>
      </c>
      <c r="I414" s="96">
        <v>0</v>
      </c>
      <c r="J414" s="94" t="s">
        <v>268</v>
      </c>
    </row>
    <row r="415" spans="1:10" x14ac:dyDescent="0.2">
      <c r="A415" s="94" t="s">
        <v>265</v>
      </c>
      <c r="B415" s="95">
        <v>2025</v>
      </c>
      <c r="C415" s="95">
        <v>80</v>
      </c>
      <c r="D415" s="94" t="s">
        <v>330</v>
      </c>
      <c r="E415" s="95">
        <v>11</v>
      </c>
      <c r="F415" s="95">
        <v>15</v>
      </c>
      <c r="G415" s="94" t="s">
        <v>281</v>
      </c>
      <c r="H415" s="167">
        <v>163774.38</v>
      </c>
      <c r="I415" s="96">
        <v>0</v>
      </c>
      <c r="J415" s="94" t="s">
        <v>268</v>
      </c>
    </row>
    <row r="416" spans="1:10" hidden="1" x14ac:dyDescent="0.2">
      <c r="A416" s="94" t="s">
        <v>265</v>
      </c>
      <c r="B416" s="95">
        <v>2025</v>
      </c>
      <c r="C416" s="95">
        <v>80</v>
      </c>
      <c r="D416" s="94" t="s">
        <v>330</v>
      </c>
      <c r="E416" s="95">
        <v>11</v>
      </c>
      <c r="F416" s="95">
        <v>24</v>
      </c>
      <c r="G416" s="94" t="s">
        <v>272</v>
      </c>
      <c r="H416" s="167">
        <v>999.9</v>
      </c>
      <c r="I416" s="96">
        <v>0</v>
      </c>
      <c r="J416" s="94" t="s">
        <v>268</v>
      </c>
    </row>
    <row r="417" spans="1:10" hidden="1" x14ac:dyDescent="0.2">
      <c r="A417" s="94" t="s">
        <v>265</v>
      </c>
      <c r="B417" s="95">
        <v>2025</v>
      </c>
      <c r="C417" s="95">
        <v>80</v>
      </c>
      <c r="D417" s="94" t="s">
        <v>330</v>
      </c>
      <c r="E417" s="95">
        <v>11</v>
      </c>
      <c r="F417" s="95">
        <v>25</v>
      </c>
      <c r="G417" s="94" t="s">
        <v>273</v>
      </c>
      <c r="H417" s="167">
        <v>154</v>
      </c>
      <c r="I417" s="96">
        <v>0</v>
      </c>
      <c r="J417" s="94" t="s">
        <v>268</v>
      </c>
    </row>
    <row r="418" spans="1:10" hidden="1" x14ac:dyDescent="0.2">
      <c r="A418" s="94" t="s">
        <v>265</v>
      </c>
      <c r="B418" s="95">
        <v>2025</v>
      </c>
      <c r="C418" s="95">
        <v>80</v>
      </c>
      <c r="D418" s="94" t="s">
        <v>330</v>
      </c>
      <c r="E418" s="95">
        <v>11</v>
      </c>
      <c r="F418" s="95">
        <v>51</v>
      </c>
      <c r="G418" s="94" t="s">
        <v>274</v>
      </c>
      <c r="H418" s="167">
        <v>154</v>
      </c>
      <c r="I418" s="96">
        <v>0</v>
      </c>
      <c r="J418" s="94" t="s">
        <v>268</v>
      </c>
    </row>
    <row r="419" spans="1:10" x14ac:dyDescent="0.2">
      <c r="A419" s="94" t="s">
        <v>265</v>
      </c>
      <c r="B419" s="95">
        <v>2025</v>
      </c>
      <c r="C419" s="95">
        <v>80</v>
      </c>
      <c r="D419" s="94" t="s">
        <v>330</v>
      </c>
      <c r="E419" s="95">
        <v>11</v>
      </c>
      <c r="F419" s="95">
        <v>62</v>
      </c>
      <c r="G419" s="94" t="s">
        <v>282</v>
      </c>
      <c r="H419" s="167">
        <v>187469.9</v>
      </c>
      <c r="I419" s="96">
        <v>0</v>
      </c>
      <c r="J419" s="94" t="s">
        <v>268</v>
      </c>
    </row>
    <row r="420" spans="1:10" hidden="1" x14ac:dyDescent="0.2">
      <c r="A420" s="94" t="s">
        <v>265</v>
      </c>
      <c r="B420" s="95">
        <v>2025</v>
      </c>
      <c r="C420" s="95">
        <v>80</v>
      </c>
      <c r="D420" s="94" t="s">
        <v>330</v>
      </c>
      <c r="E420" s="95">
        <v>11</v>
      </c>
      <c r="F420" s="95">
        <v>93</v>
      </c>
      <c r="G420" s="94" t="s">
        <v>275</v>
      </c>
      <c r="H420" s="167">
        <v>2701.54</v>
      </c>
      <c r="I420" s="96">
        <v>0</v>
      </c>
      <c r="J420" s="94" t="s">
        <v>268</v>
      </c>
    </row>
    <row r="421" spans="1:10" hidden="1" x14ac:dyDescent="0.2">
      <c r="A421" s="94" t="s">
        <v>265</v>
      </c>
      <c r="B421" s="95">
        <v>2025</v>
      </c>
      <c r="C421" s="95">
        <v>81</v>
      </c>
      <c r="D421" s="94" t="s">
        <v>331</v>
      </c>
      <c r="E421" s="95">
        <v>11</v>
      </c>
      <c r="F421" s="95">
        <v>1</v>
      </c>
      <c r="G421" s="94" t="s">
        <v>267</v>
      </c>
      <c r="H421" s="167">
        <v>43866.67</v>
      </c>
      <c r="I421" s="96">
        <v>0</v>
      </c>
      <c r="J421" s="94" t="s">
        <v>268</v>
      </c>
    </row>
    <row r="422" spans="1:10" hidden="1" x14ac:dyDescent="0.2">
      <c r="A422" s="94" t="s">
        <v>265</v>
      </c>
      <c r="B422" s="95">
        <v>2025</v>
      </c>
      <c r="C422" s="95">
        <v>81</v>
      </c>
      <c r="D422" s="94" t="s">
        <v>331</v>
      </c>
      <c r="E422" s="95">
        <v>11</v>
      </c>
      <c r="F422" s="95">
        <v>3</v>
      </c>
      <c r="G422" s="94" t="s">
        <v>269</v>
      </c>
      <c r="H422" s="167">
        <v>230</v>
      </c>
      <c r="I422" s="96">
        <v>0</v>
      </c>
      <c r="J422" s="94" t="s">
        <v>268</v>
      </c>
    </row>
    <row r="423" spans="1:10" hidden="1" x14ac:dyDescent="0.2">
      <c r="A423" s="94" t="s">
        <v>265</v>
      </c>
      <c r="B423" s="95">
        <v>2025</v>
      </c>
      <c r="C423" s="95">
        <v>81</v>
      </c>
      <c r="D423" s="94" t="s">
        <v>331</v>
      </c>
      <c r="E423" s="95">
        <v>11</v>
      </c>
      <c r="F423" s="95">
        <v>4</v>
      </c>
      <c r="G423" s="94" t="s">
        <v>270</v>
      </c>
      <c r="H423" s="167">
        <v>315</v>
      </c>
      <c r="I423" s="96">
        <v>0</v>
      </c>
      <c r="J423" s="94" t="s">
        <v>268</v>
      </c>
    </row>
    <row r="424" spans="1:10" hidden="1" x14ac:dyDescent="0.2">
      <c r="A424" s="94" t="s">
        <v>265</v>
      </c>
      <c r="B424" s="95">
        <v>2025</v>
      </c>
      <c r="C424" s="95">
        <v>81</v>
      </c>
      <c r="D424" s="94" t="s">
        <v>331</v>
      </c>
      <c r="E424" s="95">
        <v>11</v>
      </c>
      <c r="F424" s="95">
        <v>6</v>
      </c>
      <c r="G424" s="94" t="s">
        <v>271</v>
      </c>
      <c r="H424" s="167">
        <v>18800</v>
      </c>
      <c r="I424" s="96">
        <v>0</v>
      </c>
      <c r="J424" s="94" t="s">
        <v>268</v>
      </c>
    </row>
    <row r="425" spans="1:10" hidden="1" x14ac:dyDescent="0.2">
      <c r="A425" s="94" t="s">
        <v>265</v>
      </c>
      <c r="B425" s="95">
        <v>2025</v>
      </c>
      <c r="C425" s="95">
        <v>81</v>
      </c>
      <c r="D425" s="94" t="s">
        <v>331</v>
      </c>
      <c r="E425" s="95">
        <v>11</v>
      </c>
      <c r="F425" s="95">
        <v>24</v>
      </c>
      <c r="G425" s="94" t="s">
        <v>272</v>
      </c>
      <c r="H425" s="167">
        <v>994</v>
      </c>
      <c r="I425" s="96">
        <v>0</v>
      </c>
      <c r="J425" s="94" t="s">
        <v>268</v>
      </c>
    </row>
    <row r="426" spans="1:10" hidden="1" x14ac:dyDescent="0.2">
      <c r="A426" s="94" t="s">
        <v>265</v>
      </c>
      <c r="B426" s="95">
        <v>2025</v>
      </c>
      <c r="C426" s="95">
        <v>81</v>
      </c>
      <c r="D426" s="94" t="s">
        <v>331</v>
      </c>
      <c r="E426" s="95">
        <v>11</v>
      </c>
      <c r="F426" s="95">
        <v>25</v>
      </c>
      <c r="G426" s="94" t="s">
        <v>273</v>
      </c>
      <c r="H426" s="167">
        <v>154</v>
      </c>
      <c r="I426" s="96">
        <v>0</v>
      </c>
      <c r="J426" s="94" t="s">
        <v>268</v>
      </c>
    </row>
    <row r="427" spans="1:10" hidden="1" x14ac:dyDescent="0.2">
      <c r="A427" s="94" t="s">
        <v>265</v>
      </c>
      <c r="B427" s="95">
        <v>2025</v>
      </c>
      <c r="C427" s="95">
        <v>81</v>
      </c>
      <c r="D427" s="94" t="s">
        <v>331</v>
      </c>
      <c r="E427" s="95">
        <v>11</v>
      </c>
      <c r="F427" s="95">
        <v>51</v>
      </c>
      <c r="G427" s="94" t="s">
        <v>274</v>
      </c>
      <c r="H427" s="167">
        <v>154</v>
      </c>
      <c r="I427" s="96">
        <v>0</v>
      </c>
      <c r="J427" s="94" t="s">
        <v>268</v>
      </c>
    </row>
    <row r="428" spans="1:10" hidden="1" x14ac:dyDescent="0.2">
      <c r="A428" s="94" t="s">
        <v>265</v>
      </c>
      <c r="B428" s="95">
        <v>2025</v>
      </c>
      <c r="C428" s="95">
        <v>81</v>
      </c>
      <c r="D428" s="94" t="s">
        <v>331</v>
      </c>
      <c r="E428" s="95">
        <v>11</v>
      </c>
      <c r="F428" s="95">
        <v>93</v>
      </c>
      <c r="G428" s="94" t="s">
        <v>275</v>
      </c>
      <c r="H428" s="167">
        <v>3207.38</v>
      </c>
      <c r="I428" s="96">
        <v>0</v>
      </c>
      <c r="J428" s="94" t="s">
        <v>268</v>
      </c>
    </row>
    <row r="429" spans="1:10" hidden="1" x14ac:dyDescent="0.2">
      <c r="A429" s="94" t="s">
        <v>265</v>
      </c>
      <c r="B429" s="95">
        <v>2025</v>
      </c>
      <c r="C429" s="95">
        <v>82</v>
      </c>
      <c r="D429" s="94" t="s">
        <v>332</v>
      </c>
      <c r="E429" s="95">
        <v>11</v>
      </c>
      <c r="F429" s="95">
        <v>1</v>
      </c>
      <c r="G429" s="94" t="s">
        <v>267</v>
      </c>
      <c r="H429" s="167">
        <v>49626.03</v>
      </c>
      <c r="I429" s="96">
        <v>0</v>
      </c>
      <c r="J429" s="94" t="s">
        <v>268</v>
      </c>
    </row>
    <row r="430" spans="1:10" hidden="1" x14ac:dyDescent="0.2">
      <c r="A430" s="94" t="s">
        <v>265</v>
      </c>
      <c r="B430" s="95">
        <v>2025</v>
      </c>
      <c r="C430" s="95">
        <v>82</v>
      </c>
      <c r="D430" s="94" t="s">
        <v>332</v>
      </c>
      <c r="E430" s="95">
        <v>11</v>
      </c>
      <c r="F430" s="95">
        <v>3</v>
      </c>
      <c r="G430" s="94" t="s">
        <v>269</v>
      </c>
      <c r="H430" s="167">
        <v>230</v>
      </c>
      <c r="I430" s="96">
        <v>0</v>
      </c>
      <c r="J430" s="94" t="s">
        <v>268</v>
      </c>
    </row>
    <row r="431" spans="1:10" hidden="1" x14ac:dyDescent="0.2">
      <c r="A431" s="94" t="s">
        <v>265</v>
      </c>
      <c r="B431" s="95">
        <v>2025</v>
      </c>
      <c r="C431" s="95">
        <v>82</v>
      </c>
      <c r="D431" s="94" t="s">
        <v>332</v>
      </c>
      <c r="E431" s="95">
        <v>11</v>
      </c>
      <c r="F431" s="95">
        <v>4</v>
      </c>
      <c r="G431" s="94" t="s">
        <v>270</v>
      </c>
      <c r="H431" s="167">
        <v>315</v>
      </c>
      <c r="I431" s="96">
        <v>0</v>
      </c>
      <c r="J431" s="94" t="s">
        <v>268</v>
      </c>
    </row>
    <row r="432" spans="1:10" hidden="1" x14ac:dyDescent="0.2">
      <c r="A432" s="94" t="s">
        <v>265</v>
      </c>
      <c r="B432" s="95">
        <v>2025</v>
      </c>
      <c r="C432" s="95">
        <v>82</v>
      </c>
      <c r="D432" s="94" t="s">
        <v>332</v>
      </c>
      <c r="E432" s="95">
        <v>11</v>
      </c>
      <c r="F432" s="95">
        <v>6</v>
      </c>
      <c r="G432" s="94" t="s">
        <v>271</v>
      </c>
      <c r="H432" s="167">
        <v>21268.3</v>
      </c>
      <c r="I432" s="96">
        <v>0</v>
      </c>
      <c r="J432" s="94" t="s">
        <v>268</v>
      </c>
    </row>
    <row r="433" spans="1:10" x14ac:dyDescent="0.2">
      <c r="A433" s="94" t="s">
        <v>265</v>
      </c>
      <c r="B433" s="95">
        <v>2025</v>
      </c>
      <c r="C433" s="95">
        <v>82</v>
      </c>
      <c r="D433" s="94" t="s">
        <v>332</v>
      </c>
      <c r="E433" s="95">
        <v>11</v>
      </c>
      <c r="F433" s="95">
        <v>15</v>
      </c>
      <c r="G433" s="94" t="s">
        <v>281</v>
      </c>
      <c r="H433" s="167">
        <v>222627.92</v>
      </c>
      <c r="I433" s="96">
        <v>0</v>
      </c>
      <c r="J433" s="94" t="s">
        <v>268</v>
      </c>
    </row>
    <row r="434" spans="1:10" hidden="1" x14ac:dyDescent="0.2">
      <c r="A434" s="94" t="s">
        <v>265</v>
      </c>
      <c r="B434" s="95">
        <v>2025</v>
      </c>
      <c r="C434" s="95">
        <v>82</v>
      </c>
      <c r="D434" s="94" t="s">
        <v>332</v>
      </c>
      <c r="E434" s="95">
        <v>11</v>
      </c>
      <c r="F434" s="95">
        <v>24</v>
      </c>
      <c r="G434" s="94" t="s">
        <v>272</v>
      </c>
      <c r="H434" s="167">
        <v>994.68</v>
      </c>
      <c r="I434" s="96">
        <v>0</v>
      </c>
      <c r="J434" s="94" t="s">
        <v>268</v>
      </c>
    </row>
    <row r="435" spans="1:10" hidden="1" x14ac:dyDescent="0.2">
      <c r="A435" s="94" t="s">
        <v>265</v>
      </c>
      <c r="B435" s="95">
        <v>2025</v>
      </c>
      <c r="C435" s="95">
        <v>82</v>
      </c>
      <c r="D435" s="94" t="s">
        <v>332</v>
      </c>
      <c r="E435" s="95">
        <v>11</v>
      </c>
      <c r="F435" s="95">
        <v>25</v>
      </c>
      <c r="G435" s="94" t="s">
        <v>273</v>
      </c>
      <c r="H435" s="167">
        <v>154</v>
      </c>
      <c r="I435" s="96">
        <v>0</v>
      </c>
      <c r="J435" s="94" t="s">
        <v>268</v>
      </c>
    </row>
    <row r="436" spans="1:10" hidden="1" x14ac:dyDescent="0.2">
      <c r="A436" s="94" t="s">
        <v>265</v>
      </c>
      <c r="B436" s="95">
        <v>2025</v>
      </c>
      <c r="C436" s="95">
        <v>82</v>
      </c>
      <c r="D436" s="94" t="s">
        <v>332</v>
      </c>
      <c r="E436" s="95">
        <v>11</v>
      </c>
      <c r="F436" s="95">
        <v>51</v>
      </c>
      <c r="G436" s="94" t="s">
        <v>274</v>
      </c>
      <c r="H436" s="167">
        <v>154</v>
      </c>
      <c r="I436" s="96">
        <v>0</v>
      </c>
      <c r="J436" s="94" t="s">
        <v>268</v>
      </c>
    </row>
    <row r="437" spans="1:10" x14ac:dyDescent="0.2">
      <c r="A437" s="94" t="s">
        <v>265</v>
      </c>
      <c r="B437" s="95">
        <v>2025</v>
      </c>
      <c r="C437" s="95">
        <v>82</v>
      </c>
      <c r="D437" s="94" t="s">
        <v>332</v>
      </c>
      <c r="E437" s="95">
        <v>11</v>
      </c>
      <c r="F437" s="95">
        <v>62</v>
      </c>
      <c r="G437" s="94" t="s">
        <v>282</v>
      </c>
      <c r="H437" s="167">
        <v>254442.42</v>
      </c>
      <c r="I437" s="96">
        <v>0</v>
      </c>
      <c r="J437" s="94" t="s">
        <v>268</v>
      </c>
    </row>
    <row r="438" spans="1:10" hidden="1" x14ac:dyDescent="0.2">
      <c r="A438" s="94" t="s">
        <v>265</v>
      </c>
      <c r="B438" s="95">
        <v>2025</v>
      </c>
      <c r="C438" s="95">
        <v>82</v>
      </c>
      <c r="D438" s="94" t="s">
        <v>332</v>
      </c>
      <c r="E438" s="95">
        <v>11</v>
      </c>
      <c r="F438" s="95">
        <v>93</v>
      </c>
      <c r="G438" s="94" t="s">
        <v>275</v>
      </c>
      <c r="H438" s="167">
        <v>3924.67</v>
      </c>
      <c r="I438" s="96">
        <v>0</v>
      </c>
      <c r="J438" s="94" t="s">
        <v>268</v>
      </c>
    </row>
    <row r="439" spans="1:10" hidden="1" x14ac:dyDescent="0.2">
      <c r="A439" s="94" t="s">
        <v>265</v>
      </c>
      <c r="B439" s="95">
        <v>2025</v>
      </c>
      <c r="C439" s="95">
        <v>83</v>
      </c>
      <c r="D439" s="94" t="s">
        <v>333</v>
      </c>
      <c r="E439" s="95">
        <v>11</v>
      </c>
      <c r="F439" s="95">
        <v>1</v>
      </c>
      <c r="G439" s="94" t="s">
        <v>267</v>
      </c>
      <c r="H439" s="167">
        <v>39125.33</v>
      </c>
      <c r="I439" s="96">
        <v>0</v>
      </c>
      <c r="J439" s="94" t="s">
        <v>268</v>
      </c>
    </row>
    <row r="440" spans="1:10" hidden="1" x14ac:dyDescent="0.2">
      <c r="A440" s="94" t="s">
        <v>265</v>
      </c>
      <c r="B440" s="95">
        <v>2025</v>
      </c>
      <c r="C440" s="95">
        <v>83</v>
      </c>
      <c r="D440" s="94" t="s">
        <v>333</v>
      </c>
      <c r="E440" s="95">
        <v>11</v>
      </c>
      <c r="F440" s="95">
        <v>3</v>
      </c>
      <c r="G440" s="94" t="s">
        <v>269</v>
      </c>
      <c r="H440" s="167">
        <v>230</v>
      </c>
      <c r="I440" s="96">
        <v>0</v>
      </c>
      <c r="J440" s="94" t="s">
        <v>268</v>
      </c>
    </row>
    <row r="441" spans="1:10" hidden="1" x14ac:dyDescent="0.2">
      <c r="A441" s="94" t="s">
        <v>265</v>
      </c>
      <c r="B441" s="95">
        <v>2025</v>
      </c>
      <c r="C441" s="95">
        <v>83</v>
      </c>
      <c r="D441" s="94" t="s">
        <v>333</v>
      </c>
      <c r="E441" s="95">
        <v>11</v>
      </c>
      <c r="F441" s="95">
        <v>4</v>
      </c>
      <c r="G441" s="94" t="s">
        <v>270</v>
      </c>
      <c r="H441" s="167">
        <v>315</v>
      </c>
      <c r="I441" s="96">
        <v>0</v>
      </c>
      <c r="J441" s="94" t="s">
        <v>268</v>
      </c>
    </row>
    <row r="442" spans="1:10" hidden="1" x14ac:dyDescent="0.2">
      <c r="A442" s="94" t="s">
        <v>265</v>
      </c>
      <c r="B442" s="95">
        <v>2025</v>
      </c>
      <c r="C442" s="95">
        <v>83</v>
      </c>
      <c r="D442" s="94" t="s">
        <v>333</v>
      </c>
      <c r="E442" s="95">
        <v>11</v>
      </c>
      <c r="F442" s="95">
        <v>6</v>
      </c>
      <c r="G442" s="94" t="s">
        <v>271</v>
      </c>
      <c r="H442" s="167">
        <v>16768</v>
      </c>
      <c r="I442" s="96">
        <v>0</v>
      </c>
      <c r="J442" s="94" t="s">
        <v>268</v>
      </c>
    </row>
    <row r="443" spans="1:10" hidden="1" x14ac:dyDescent="0.2">
      <c r="A443" s="94" t="s">
        <v>265</v>
      </c>
      <c r="B443" s="95">
        <v>2025</v>
      </c>
      <c r="C443" s="95">
        <v>83</v>
      </c>
      <c r="D443" s="94" t="s">
        <v>333</v>
      </c>
      <c r="E443" s="95">
        <v>11</v>
      </c>
      <c r="F443" s="95">
        <v>24</v>
      </c>
      <c r="G443" s="94" t="s">
        <v>272</v>
      </c>
      <c r="H443" s="167">
        <v>959.45</v>
      </c>
      <c r="I443" s="96">
        <v>0</v>
      </c>
      <c r="J443" s="94" t="s">
        <v>268</v>
      </c>
    </row>
    <row r="444" spans="1:10" hidden="1" x14ac:dyDescent="0.2">
      <c r="A444" s="94" t="s">
        <v>265</v>
      </c>
      <c r="B444" s="95">
        <v>2025</v>
      </c>
      <c r="C444" s="95">
        <v>83</v>
      </c>
      <c r="D444" s="94" t="s">
        <v>333</v>
      </c>
      <c r="E444" s="95">
        <v>11</v>
      </c>
      <c r="F444" s="95">
        <v>25</v>
      </c>
      <c r="G444" s="94" t="s">
        <v>273</v>
      </c>
      <c r="H444" s="167">
        <v>154</v>
      </c>
      <c r="I444" s="96">
        <v>0</v>
      </c>
      <c r="J444" s="94" t="s">
        <v>268</v>
      </c>
    </row>
    <row r="445" spans="1:10" hidden="1" x14ac:dyDescent="0.2">
      <c r="A445" s="94" t="s">
        <v>265</v>
      </c>
      <c r="B445" s="95">
        <v>2025</v>
      </c>
      <c r="C445" s="95">
        <v>83</v>
      </c>
      <c r="D445" s="94" t="s">
        <v>333</v>
      </c>
      <c r="E445" s="95">
        <v>11</v>
      </c>
      <c r="F445" s="95">
        <v>51</v>
      </c>
      <c r="G445" s="94" t="s">
        <v>274</v>
      </c>
      <c r="H445" s="167">
        <v>154</v>
      </c>
      <c r="I445" s="96">
        <v>0</v>
      </c>
      <c r="J445" s="94" t="s">
        <v>268</v>
      </c>
    </row>
    <row r="446" spans="1:10" hidden="1" x14ac:dyDescent="0.2">
      <c r="A446" s="94" t="s">
        <v>265</v>
      </c>
      <c r="B446" s="95">
        <v>2025</v>
      </c>
      <c r="C446" s="95">
        <v>83</v>
      </c>
      <c r="D446" s="94" t="s">
        <v>333</v>
      </c>
      <c r="E446" s="95">
        <v>11</v>
      </c>
      <c r="F446" s="95">
        <v>93</v>
      </c>
      <c r="G446" s="94" t="s">
        <v>275</v>
      </c>
      <c r="H446" s="167">
        <v>2430.8200000000002</v>
      </c>
      <c r="I446" s="96">
        <v>0</v>
      </c>
      <c r="J446" s="94" t="s">
        <v>268</v>
      </c>
    </row>
    <row r="447" spans="1:10" hidden="1" x14ac:dyDescent="0.2">
      <c r="A447" s="94" t="s">
        <v>265</v>
      </c>
      <c r="B447" s="95">
        <v>2025</v>
      </c>
      <c r="C447" s="95">
        <v>84</v>
      </c>
      <c r="D447" s="94" t="s">
        <v>334</v>
      </c>
      <c r="E447" s="95">
        <v>11</v>
      </c>
      <c r="F447" s="95">
        <v>1</v>
      </c>
      <c r="G447" s="94" t="s">
        <v>267</v>
      </c>
      <c r="H447" s="167">
        <v>38946.1</v>
      </c>
      <c r="I447" s="96">
        <v>0</v>
      </c>
      <c r="J447" s="94" t="s">
        <v>268</v>
      </c>
    </row>
    <row r="448" spans="1:10" hidden="1" x14ac:dyDescent="0.2">
      <c r="A448" s="94" t="s">
        <v>265</v>
      </c>
      <c r="B448" s="95">
        <v>2025</v>
      </c>
      <c r="C448" s="95">
        <v>84</v>
      </c>
      <c r="D448" s="94" t="s">
        <v>334</v>
      </c>
      <c r="E448" s="95">
        <v>11</v>
      </c>
      <c r="F448" s="95">
        <v>3</v>
      </c>
      <c r="G448" s="94" t="s">
        <v>269</v>
      </c>
      <c r="H448" s="167">
        <v>230</v>
      </c>
      <c r="I448" s="96">
        <v>0</v>
      </c>
      <c r="J448" s="94" t="s">
        <v>268</v>
      </c>
    </row>
    <row r="449" spans="1:10" hidden="1" x14ac:dyDescent="0.2">
      <c r="A449" s="94" t="s">
        <v>265</v>
      </c>
      <c r="B449" s="95">
        <v>2025</v>
      </c>
      <c r="C449" s="95">
        <v>84</v>
      </c>
      <c r="D449" s="94" t="s">
        <v>334</v>
      </c>
      <c r="E449" s="95">
        <v>11</v>
      </c>
      <c r="F449" s="95">
        <v>4</v>
      </c>
      <c r="G449" s="94" t="s">
        <v>270</v>
      </c>
      <c r="H449" s="167">
        <v>315</v>
      </c>
      <c r="I449" s="96">
        <v>0</v>
      </c>
      <c r="J449" s="94" t="s">
        <v>268</v>
      </c>
    </row>
    <row r="450" spans="1:10" hidden="1" x14ac:dyDescent="0.2">
      <c r="A450" s="94" t="s">
        <v>265</v>
      </c>
      <c r="B450" s="95">
        <v>2025</v>
      </c>
      <c r="C450" s="95">
        <v>84</v>
      </c>
      <c r="D450" s="94" t="s">
        <v>334</v>
      </c>
      <c r="E450" s="95">
        <v>11</v>
      </c>
      <c r="F450" s="95">
        <v>6</v>
      </c>
      <c r="G450" s="94" t="s">
        <v>271</v>
      </c>
      <c r="H450" s="167">
        <v>16691.18</v>
      </c>
      <c r="I450" s="96">
        <v>0</v>
      </c>
      <c r="J450" s="94" t="s">
        <v>268</v>
      </c>
    </row>
    <row r="451" spans="1:10" hidden="1" x14ac:dyDescent="0.2">
      <c r="A451" s="94" t="s">
        <v>265</v>
      </c>
      <c r="B451" s="95">
        <v>2025</v>
      </c>
      <c r="C451" s="95">
        <v>84</v>
      </c>
      <c r="D451" s="94" t="s">
        <v>334</v>
      </c>
      <c r="E451" s="95">
        <v>11</v>
      </c>
      <c r="F451" s="95">
        <v>24</v>
      </c>
      <c r="G451" s="94" t="s">
        <v>272</v>
      </c>
      <c r="H451" s="167">
        <v>998.85</v>
      </c>
      <c r="I451" s="96">
        <v>0</v>
      </c>
      <c r="J451" s="94" t="s">
        <v>268</v>
      </c>
    </row>
    <row r="452" spans="1:10" hidden="1" x14ac:dyDescent="0.2">
      <c r="A452" s="94" t="s">
        <v>265</v>
      </c>
      <c r="B452" s="95">
        <v>2025</v>
      </c>
      <c r="C452" s="95">
        <v>84</v>
      </c>
      <c r="D452" s="94" t="s">
        <v>334</v>
      </c>
      <c r="E452" s="95">
        <v>11</v>
      </c>
      <c r="F452" s="95">
        <v>25</v>
      </c>
      <c r="G452" s="94" t="s">
        <v>273</v>
      </c>
      <c r="H452" s="167">
        <v>154</v>
      </c>
      <c r="I452" s="96">
        <v>0</v>
      </c>
      <c r="J452" s="94" t="s">
        <v>268</v>
      </c>
    </row>
    <row r="453" spans="1:10" hidden="1" x14ac:dyDescent="0.2">
      <c r="A453" s="94" t="s">
        <v>265</v>
      </c>
      <c r="B453" s="95">
        <v>2025</v>
      </c>
      <c r="C453" s="95">
        <v>84</v>
      </c>
      <c r="D453" s="94" t="s">
        <v>334</v>
      </c>
      <c r="E453" s="95">
        <v>11</v>
      </c>
      <c r="F453" s="95">
        <v>51</v>
      </c>
      <c r="G453" s="94" t="s">
        <v>274</v>
      </c>
      <c r="H453" s="167">
        <v>154</v>
      </c>
      <c r="I453" s="96">
        <v>0</v>
      </c>
      <c r="J453" s="94" t="s">
        <v>268</v>
      </c>
    </row>
    <row r="454" spans="1:10" x14ac:dyDescent="0.2">
      <c r="A454" s="94" t="s">
        <v>265</v>
      </c>
      <c r="B454" s="95">
        <v>2025</v>
      </c>
      <c r="C454" s="95">
        <v>84</v>
      </c>
      <c r="D454" s="94" t="s">
        <v>334</v>
      </c>
      <c r="E454" s="95">
        <v>11</v>
      </c>
      <c r="F454" s="95">
        <v>61</v>
      </c>
      <c r="G454" s="94" t="s">
        <v>319</v>
      </c>
      <c r="H454" s="167">
        <v>33693.15</v>
      </c>
      <c r="I454" s="96">
        <v>0</v>
      </c>
      <c r="J454" s="94" t="s">
        <v>268</v>
      </c>
    </row>
    <row r="455" spans="1:10" hidden="1" x14ac:dyDescent="0.2">
      <c r="A455" s="94" t="s">
        <v>265</v>
      </c>
      <c r="B455" s="95">
        <v>2025</v>
      </c>
      <c r="C455" s="95">
        <v>84</v>
      </c>
      <c r="D455" s="94" t="s">
        <v>334</v>
      </c>
      <c r="E455" s="95">
        <v>11</v>
      </c>
      <c r="F455" s="95">
        <v>93</v>
      </c>
      <c r="G455" s="94" t="s">
        <v>275</v>
      </c>
      <c r="H455" s="167">
        <v>2184.2600000000002</v>
      </c>
      <c r="I455" s="96">
        <v>0</v>
      </c>
      <c r="J455" s="94" t="s">
        <v>268</v>
      </c>
    </row>
    <row r="456" spans="1:10" hidden="1" x14ac:dyDescent="0.2">
      <c r="A456" s="94" t="s">
        <v>265</v>
      </c>
      <c r="B456" s="95">
        <v>2025</v>
      </c>
      <c r="C456" s="95">
        <v>85</v>
      </c>
      <c r="D456" s="94" t="s">
        <v>335</v>
      </c>
      <c r="E456" s="95">
        <v>11</v>
      </c>
      <c r="F456" s="95">
        <v>1</v>
      </c>
      <c r="G456" s="94" t="s">
        <v>267</v>
      </c>
      <c r="H456" s="167">
        <v>37800</v>
      </c>
      <c r="I456" s="96">
        <v>0</v>
      </c>
      <c r="J456" s="94" t="s">
        <v>268</v>
      </c>
    </row>
    <row r="457" spans="1:10" hidden="1" x14ac:dyDescent="0.2">
      <c r="A457" s="94" t="s">
        <v>265</v>
      </c>
      <c r="B457" s="95">
        <v>2025</v>
      </c>
      <c r="C457" s="95">
        <v>85</v>
      </c>
      <c r="D457" s="94" t="s">
        <v>335</v>
      </c>
      <c r="E457" s="95">
        <v>11</v>
      </c>
      <c r="F457" s="95">
        <v>3</v>
      </c>
      <c r="G457" s="94" t="s">
        <v>269</v>
      </c>
      <c r="H457" s="167">
        <v>230</v>
      </c>
      <c r="I457" s="96">
        <v>0</v>
      </c>
      <c r="J457" s="94" t="s">
        <v>268</v>
      </c>
    </row>
    <row r="458" spans="1:10" hidden="1" x14ac:dyDescent="0.2">
      <c r="A458" s="94" t="s">
        <v>265</v>
      </c>
      <c r="B458" s="95">
        <v>2025</v>
      </c>
      <c r="C458" s="95">
        <v>85</v>
      </c>
      <c r="D458" s="94" t="s">
        <v>335</v>
      </c>
      <c r="E458" s="95">
        <v>11</v>
      </c>
      <c r="F458" s="95">
        <v>4</v>
      </c>
      <c r="G458" s="94" t="s">
        <v>270</v>
      </c>
      <c r="H458" s="167">
        <v>315</v>
      </c>
      <c r="I458" s="96">
        <v>0</v>
      </c>
      <c r="J458" s="94" t="s">
        <v>268</v>
      </c>
    </row>
    <row r="459" spans="1:10" hidden="1" x14ac:dyDescent="0.2">
      <c r="A459" s="94" t="s">
        <v>265</v>
      </c>
      <c r="B459" s="95">
        <v>2025</v>
      </c>
      <c r="C459" s="95">
        <v>85</v>
      </c>
      <c r="D459" s="94" t="s">
        <v>335</v>
      </c>
      <c r="E459" s="95">
        <v>11</v>
      </c>
      <c r="F459" s="95">
        <v>6</v>
      </c>
      <c r="G459" s="94" t="s">
        <v>271</v>
      </c>
      <c r="H459" s="167">
        <v>16200</v>
      </c>
      <c r="I459" s="96">
        <v>0</v>
      </c>
      <c r="J459" s="94" t="s">
        <v>268</v>
      </c>
    </row>
    <row r="460" spans="1:10" hidden="1" x14ac:dyDescent="0.2">
      <c r="A460" s="94" t="s">
        <v>265</v>
      </c>
      <c r="B460" s="95">
        <v>2025</v>
      </c>
      <c r="C460" s="95">
        <v>85</v>
      </c>
      <c r="D460" s="94" t="s">
        <v>335</v>
      </c>
      <c r="E460" s="95">
        <v>11</v>
      </c>
      <c r="F460" s="95">
        <v>24</v>
      </c>
      <c r="G460" s="94" t="s">
        <v>272</v>
      </c>
      <c r="H460" s="167">
        <v>1000</v>
      </c>
      <c r="I460" s="96">
        <v>0</v>
      </c>
      <c r="J460" s="94" t="s">
        <v>268</v>
      </c>
    </row>
    <row r="461" spans="1:10" hidden="1" x14ac:dyDescent="0.2">
      <c r="A461" s="94" t="s">
        <v>265</v>
      </c>
      <c r="B461" s="95">
        <v>2025</v>
      </c>
      <c r="C461" s="95">
        <v>85</v>
      </c>
      <c r="D461" s="94" t="s">
        <v>335</v>
      </c>
      <c r="E461" s="95">
        <v>11</v>
      </c>
      <c r="F461" s="95">
        <v>25</v>
      </c>
      <c r="G461" s="94" t="s">
        <v>273</v>
      </c>
      <c r="H461" s="167">
        <v>154</v>
      </c>
      <c r="I461" s="96">
        <v>0</v>
      </c>
      <c r="J461" s="94" t="s">
        <v>268</v>
      </c>
    </row>
    <row r="462" spans="1:10" hidden="1" x14ac:dyDescent="0.2">
      <c r="A462" s="94" t="s">
        <v>265</v>
      </c>
      <c r="B462" s="95">
        <v>2025</v>
      </c>
      <c r="C462" s="95">
        <v>85</v>
      </c>
      <c r="D462" s="94" t="s">
        <v>335</v>
      </c>
      <c r="E462" s="95">
        <v>11</v>
      </c>
      <c r="F462" s="95">
        <v>51</v>
      </c>
      <c r="G462" s="94" t="s">
        <v>274</v>
      </c>
      <c r="H462" s="167">
        <v>154</v>
      </c>
      <c r="I462" s="96">
        <v>0</v>
      </c>
      <c r="J462" s="94" t="s">
        <v>268</v>
      </c>
    </row>
    <row r="463" spans="1:10" hidden="1" x14ac:dyDescent="0.2">
      <c r="A463" s="94" t="s">
        <v>265</v>
      </c>
      <c r="B463" s="95">
        <v>2025</v>
      </c>
      <c r="C463" s="95">
        <v>85</v>
      </c>
      <c r="D463" s="94" t="s">
        <v>335</v>
      </c>
      <c r="E463" s="95">
        <v>11</v>
      </c>
      <c r="F463" s="95">
        <v>93</v>
      </c>
      <c r="G463" s="94" t="s">
        <v>275</v>
      </c>
      <c r="H463" s="167">
        <v>1998.45</v>
      </c>
      <c r="I463" s="96">
        <v>0</v>
      </c>
      <c r="J463" s="94" t="s">
        <v>268</v>
      </c>
    </row>
    <row r="464" spans="1:10" hidden="1" x14ac:dyDescent="0.2">
      <c r="A464" s="94" t="s">
        <v>265</v>
      </c>
      <c r="B464" s="95">
        <v>2025</v>
      </c>
      <c r="C464" s="95">
        <v>86</v>
      </c>
      <c r="D464" s="94" t="s">
        <v>336</v>
      </c>
      <c r="E464" s="95">
        <v>11</v>
      </c>
      <c r="F464" s="95">
        <v>1</v>
      </c>
      <c r="G464" s="94" t="s">
        <v>267</v>
      </c>
      <c r="H464" s="167">
        <v>43838.32</v>
      </c>
      <c r="I464" s="96">
        <v>0</v>
      </c>
      <c r="J464" s="94" t="s">
        <v>268</v>
      </c>
    </row>
    <row r="465" spans="1:10" hidden="1" x14ac:dyDescent="0.2">
      <c r="A465" s="94" t="s">
        <v>265</v>
      </c>
      <c r="B465" s="95">
        <v>2025</v>
      </c>
      <c r="C465" s="95">
        <v>86</v>
      </c>
      <c r="D465" s="94" t="s">
        <v>336</v>
      </c>
      <c r="E465" s="95">
        <v>11</v>
      </c>
      <c r="F465" s="95">
        <v>3</v>
      </c>
      <c r="G465" s="94" t="s">
        <v>269</v>
      </c>
      <c r="H465" s="167">
        <v>230</v>
      </c>
      <c r="I465" s="96">
        <v>0</v>
      </c>
      <c r="J465" s="94" t="s">
        <v>268</v>
      </c>
    </row>
    <row r="466" spans="1:10" hidden="1" x14ac:dyDescent="0.2">
      <c r="A466" s="94" t="s">
        <v>265</v>
      </c>
      <c r="B466" s="95">
        <v>2025</v>
      </c>
      <c r="C466" s="95">
        <v>86</v>
      </c>
      <c r="D466" s="94" t="s">
        <v>336</v>
      </c>
      <c r="E466" s="95">
        <v>11</v>
      </c>
      <c r="F466" s="95">
        <v>4</v>
      </c>
      <c r="G466" s="94" t="s">
        <v>270</v>
      </c>
      <c r="H466" s="167">
        <v>315</v>
      </c>
      <c r="I466" s="96">
        <v>0</v>
      </c>
      <c r="J466" s="94" t="s">
        <v>268</v>
      </c>
    </row>
    <row r="467" spans="1:10" hidden="1" x14ac:dyDescent="0.2">
      <c r="A467" s="94" t="s">
        <v>265</v>
      </c>
      <c r="B467" s="95">
        <v>2025</v>
      </c>
      <c r="C467" s="95">
        <v>86</v>
      </c>
      <c r="D467" s="94" t="s">
        <v>336</v>
      </c>
      <c r="E467" s="95">
        <v>11</v>
      </c>
      <c r="F467" s="95">
        <v>6</v>
      </c>
      <c r="G467" s="94" t="s">
        <v>271</v>
      </c>
      <c r="H467" s="167">
        <v>18787.849999999999</v>
      </c>
      <c r="I467" s="96">
        <v>0</v>
      </c>
      <c r="J467" s="94" t="s">
        <v>268</v>
      </c>
    </row>
    <row r="468" spans="1:10" x14ac:dyDescent="0.2">
      <c r="A468" s="94" t="s">
        <v>265</v>
      </c>
      <c r="B468" s="95">
        <v>2025</v>
      </c>
      <c r="C468" s="95">
        <v>86</v>
      </c>
      <c r="D468" s="94" t="s">
        <v>336</v>
      </c>
      <c r="E468" s="95">
        <v>11</v>
      </c>
      <c r="F468" s="95">
        <v>15</v>
      </c>
      <c r="G468" s="94" t="s">
        <v>281</v>
      </c>
      <c r="H468" s="167">
        <v>244922.7</v>
      </c>
      <c r="I468" s="96">
        <v>0</v>
      </c>
      <c r="J468" s="94" t="s">
        <v>268</v>
      </c>
    </row>
    <row r="469" spans="1:10" hidden="1" x14ac:dyDescent="0.2">
      <c r="A469" s="94" t="s">
        <v>265</v>
      </c>
      <c r="B469" s="95">
        <v>2025</v>
      </c>
      <c r="C469" s="95">
        <v>86</v>
      </c>
      <c r="D469" s="94" t="s">
        <v>336</v>
      </c>
      <c r="E469" s="95">
        <v>11</v>
      </c>
      <c r="F469" s="95">
        <v>24</v>
      </c>
      <c r="G469" s="94" t="s">
        <v>272</v>
      </c>
      <c r="H469" s="167">
        <v>1000</v>
      </c>
      <c r="I469" s="96">
        <v>0</v>
      </c>
      <c r="J469" s="94" t="s">
        <v>268</v>
      </c>
    </row>
    <row r="470" spans="1:10" hidden="1" x14ac:dyDescent="0.2">
      <c r="A470" s="94" t="s">
        <v>265</v>
      </c>
      <c r="B470" s="95">
        <v>2025</v>
      </c>
      <c r="C470" s="95">
        <v>86</v>
      </c>
      <c r="D470" s="94" t="s">
        <v>336</v>
      </c>
      <c r="E470" s="95">
        <v>11</v>
      </c>
      <c r="F470" s="95">
        <v>25</v>
      </c>
      <c r="G470" s="94" t="s">
        <v>273</v>
      </c>
      <c r="H470" s="167">
        <v>154</v>
      </c>
      <c r="I470" s="96">
        <v>0</v>
      </c>
      <c r="J470" s="94" t="s">
        <v>268</v>
      </c>
    </row>
    <row r="471" spans="1:10" hidden="1" x14ac:dyDescent="0.2">
      <c r="A471" s="94" t="s">
        <v>265</v>
      </c>
      <c r="B471" s="95">
        <v>2025</v>
      </c>
      <c r="C471" s="95">
        <v>86</v>
      </c>
      <c r="D471" s="94" t="s">
        <v>336</v>
      </c>
      <c r="E471" s="95">
        <v>11</v>
      </c>
      <c r="F471" s="95">
        <v>51</v>
      </c>
      <c r="G471" s="94" t="s">
        <v>274</v>
      </c>
      <c r="H471" s="167">
        <v>154</v>
      </c>
      <c r="I471" s="96">
        <v>0</v>
      </c>
      <c r="J471" s="94" t="s">
        <v>268</v>
      </c>
    </row>
    <row r="472" spans="1:10" x14ac:dyDescent="0.2">
      <c r="A472" s="94" t="s">
        <v>265</v>
      </c>
      <c r="B472" s="95">
        <v>2025</v>
      </c>
      <c r="C472" s="95">
        <v>86</v>
      </c>
      <c r="D472" s="94" t="s">
        <v>336</v>
      </c>
      <c r="E472" s="95">
        <v>11</v>
      </c>
      <c r="F472" s="95">
        <v>62</v>
      </c>
      <c r="G472" s="94" t="s">
        <v>282</v>
      </c>
      <c r="H472" s="167">
        <v>330691.73</v>
      </c>
      <c r="I472" s="96">
        <v>0</v>
      </c>
      <c r="J472" s="94" t="s">
        <v>268</v>
      </c>
    </row>
    <row r="473" spans="1:10" hidden="1" x14ac:dyDescent="0.2">
      <c r="A473" s="94" t="s">
        <v>265</v>
      </c>
      <c r="B473" s="95">
        <v>2025</v>
      </c>
      <c r="C473" s="95">
        <v>86</v>
      </c>
      <c r="D473" s="94" t="s">
        <v>336</v>
      </c>
      <c r="E473" s="95">
        <v>11</v>
      </c>
      <c r="F473" s="95">
        <v>93</v>
      </c>
      <c r="G473" s="94" t="s">
        <v>275</v>
      </c>
      <c r="H473" s="167">
        <v>3115.71</v>
      </c>
      <c r="I473" s="96">
        <v>0</v>
      </c>
      <c r="J473" s="94" t="s">
        <v>268</v>
      </c>
    </row>
    <row r="474" spans="1:10" hidden="1" x14ac:dyDescent="0.2">
      <c r="A474" s="94" t="s">
        <v>265</v>
      </c>
      <c r="B474" s="95">
        <v>2025</v>
      </c>
      <c r="C474" s="95">
        <v>87</v>
      </c>
      <c r="D474" s="94" t="s">
        <v>337</v>
      </c>
      <c r="E474" s="95">
        <v>11</v>
      </c>
      <c r="F474" s="95">
        <v>1</v>
      </c>
      <c r="G474" s="94" t="s">
        <v>267</v>
      </c>
      <c r="H474" s="167">
        <v>17976</v>
      </c>
      <c r="I474" s="96">
        <v>0</v>
      </c>
      <c r="J474" s="94" t="s">
        <v>268</v>
      </c>
    </row>
    <row r="475" spans="1:10" hidden="1" x14ac:dyDescent="0.2">
      <c r="A475" s="94" t="s">
        <v>265</v>
      </c>
      <c r="B475" s="95">
        <v>2025</v>
      </c>
      <c r="C475" s="95">
        <v>87</v>
      </c>
      <c r="D475" s="94" t="s">
        <v>337</v>
      </c>
      <c r="E475" s="95">
        <v>11</v>
      </c>
      <c r="F475" s="95">
        <v>3</v>
      </c>
      <c r="G475" s="94" t="s">
        <v>269</v>
      </c>
      <c r="H475" s="167">
        <v>281.13</v>
      </c>
      <c r="I475" s="96">
        <v>0</v>
      </c>
      <c r="J475" s="94" t="s">
        <v>268</v>
      </c>
    </row>
    <row r="476" spans="1:10" hidden="1" x14ac:dyDescent="0.2">
      <c r="A476" s="94" t="s">
        <v>265</v>
      </c>
      <c r="B476" s="95">
        <v>2025</v>
      </c>
      <c r="C476" s="95">
        <v>87</v>
      </c>
      <c r="D476" s="94" t="s">
        <v>337</v>
      </c>
      <c r="E476" s="95">
        <v>11</v>
      </c>
      <c r="F476" s="95">
        <v>4</v>
      </c>
      <c r="G476" s="94" t="s">
        <v>270</v>
      </c>
      <c r="H476" s="167">
        <v>315</v>
      </c>
      <c r="I476" s="96">
        <v>0</v>
      </c>
      <c r="J476" s="94" t="s">
        <v>268</v>
      </c>
    </row>
    <row r="477" spans="1:10" hidden="1" x14ac:dyDescent="0.2">
      <c r="A477" s="94" t="s">
        <v>265</v>
      </c>
      <c r="B477" s="95">
        <v>2025</v>
      </c>
      <c r="C477" s="95">
        <v>87</v>
      </c>
      <c r="D477" s="94" t="s">
        <v>337</v>
      </c>
      <c r="E477" s="95">
        <v>11</v>
      </c>
      <c r="F477" s="95">
        <v>6</v>
      </c>
      <c r="G477" s="94" t="s">
        <v>271</v>
      </c>
      <c r="H477" s="167">
        <v>7704</v>
      </c>
      <c r="I477" s="96">
        <v>0</v>
      </c>
      <c r="J477" s="94" t="s">
        <v>268</v>
      </c>
    </row>
    <row r="478" spans="1:10" hidden="1" x14ac:dyDescent="0.2">
      <c r="A478" s="94" t="s">
        <v>265</v>
      </c>
      <c r="B478" s="95">
        <v>2025</v>
      </c>
      <c r="C478" s="95">
        <v>87</v>
      </c>
      <c r="D478" s="94" t="s">
        <v>337</v>
      </c>
      <c r="E478" s="95">
        <v>11</v>
      </c>
      <c r="F478" s="95">
        <v>24</v>
      </c>
      <c r="G478" s="94" t="s">
        <v>272</v>
      </c>
      <c r="H478" s="167">
        <v>999.1</v>
      </c>
      <c r="I478" s="96">
        <v>0</v>
      </c>
      <c r="J478" s="94" t="s">
        <v>268</v>
      </c>
    </row>
    <row r="479" spans="1:10" hidden="1" x14ac:dyDescent="0.2">
      <c r="A479" s="94" t="s">
        <v>265</v>
      </c>
      <c r="B479" s="95">
        <v>2025</v>
      </c>
      <c r="C479" s="95">
        <v>87</v>
      </c>
      <c r="D479" s="94" t="s">
        <v>337</v>
      </c>
      <c r="E479" s="95">
        <v>11</v>
      </c>
      <c r="F479" s="95">
        <v>25</v>
      </c>
      <c r="G479" s="94" t="s">
        <v>273</v>
      </c>
      <c r="H479" s="167">
        <v>223.39</v>
      </c>
      <c r="I479" s="96">
        <v>0</v>
      </c>
      <c r="J479" s="94" t="s">
        <v>268</v>
      </c>
    </row>
    <row r="480" spans="1:10" hidden="1" x14ac:dyDescent="0.2">
      <c r="A480" s="94" t="s">
        <v>265</v>
      </c>
      <c r="B480" s="95">
        <v>2025</v>
      </c>
      <c r="C480" s="95">
        <v>87</v>
      </c>
      <c r="D480" s="94" t="s">
        <v>337</v>
      </c>
      <c r="E480" s="95">
        <v>11</v>
      </c>
      <c r="F480" s="95">
        <v>51</v>
      </c>
      <c r="G480" s="94" t="s">
        <v>274</v>
      </c>
      <c r="H480" s="167">
        <v>154</v>
      </c>
      <c r="I480" s="96">
        <v>0</v>
      </c>
      <c r="J480" s="94" t="s">
        <v>268</v>
      </c>
    </row>
    <row r="481" spans="1:10" hidden="1" x14ac:dyDescent="0.2">
      <c r="A481" s="94" t="s">
        <v>265</v>
      </c>
      <c r="B481" s="95">
        <v>2025</v>
      </c>
      <c r="C481" s="95">
        <v>88</v>
      </c>
      <c r="D481" s="94" t="s">
        <v>338</v>
      </c>
      <c r="E481" s="95">
        <v>11</v>
      </c>
      <c r="F481" s="95">
        <v>1</v>
      </c>
      <c r="G481" s="94" t="s">
        <v>267</v>
      </c>
      <c r="H481" s="167">
        <v>32750.03</v>
      </c>
      <c r="I481" s="96">
        <v>0</v>
      </c>
      <c r="J481" s="94" t="s">
        <v>268</v>
      </c>
    </row>
    <row r="482" spans="1:10" hidden="1" x14ac:dyDescent="0.2">
      <c r="A482" s="94" t="s">
        <v>265</v>
      </c>
      <c r="B482" s="95">
        <v>2025</v>
      </c>
      <c r="C482" s="95">
        <v>88</v>
      </c>
      <c r="D482" s="94" t="s">
        <v>338</v>
      </c>
      <c r="E482" s="95">
        <v>11</v>
      </c>
      <c r="F482" s="95">
        <v>3</v>
      </c>
      <c r="G482" s="94" t="s">
        <v>269</v>
      </c>
      <c r="H482" s="167">
        <v>281.13</v>
      </c>
      <c r="I482" s="96">
        <v>0</v>
      </c>
      <c r="J482" s="94" t="s">
        <v>268</v>
      </c>
    </row>
    <row r="483" spans="1:10" hidden="1" x14ac:dyDescent="0.2">
      <c r="A483" s="94" t="s">
        <v>265</v>
      </c>
      <c r="B483" s="95">
        <v>2025</v>
      </c>
      <c r="C483" s="95">
        <v>88</v>
      </c>
      <c r="D483" s="94" t="s">
        <v>338</v>
      </c>
      <c r="E483" s="95">
        <v>11</v>
      </c>
      <c r="F483" s="95">
        <v>4</v>
      </c>
      <c r="G483" s="94" t="s">
        <v>270</v>
      </c>
      <c r="H483" s="167">
        <v>315</v>
      </c>
      <c r="I483" s="96">
        <v>0</v>
      </c>
      <c r="J483" s="94" t="s">
        <v>268</v>
      </c>
    </row>
    <row r="484" spans="1:10" hidden="1" x14ac:dyDescent="0.2">
      <c r="A484" s="94" t="s">
        <v>265</v>
      </c>
      <c r="B484" s="95">
        <v>2025</v>
      </c>
      <c r="C484" s="95">
        <v>88</v>
      </c>
      <c r="D484" s="94" t="s">
        <v>338</v>
      </c>
      <c r="E484" s="95">
        <v>11</v>
      </c>
      <c r="F484" s="95">
        <v>6</v>
      </c>
      <c r="G484" s="94" t="s">
        <v>271</v>
      </c>
      <c r="H484" s="167">
        <v>14035.73</v>
      </c>
      <c r="I484" s="96">
        <v>0</v>
      </c>
      <c r="J484" s="94" t="s">
        <v>268</v>
      </c>
    </row>
    <row r="485" spans="1:10" hidden="1" x14ac:dyDescent="0.2">
      <c r="A485" s="94" t="s">
        <v>265</v>
      </c>
      <c r="B485" s="95">
        <v>2025</v>
      </c>
      <c r="C485" s="95">
        <v>88</v>
      </c>
      <c r="D485" s="94" t="s">
        <v>338</v>
      </c>
      <c r="E485" s="95">
        <v>11</v>
      </c>
      <c r="F485" s="95">
        <v>24</v>
      </c>
      <c r="G485" s="94" t="s">
        <v>272</v>
      </c>
      <c r="H485" s="167">
        <v>998.89</v>
      </c>
      <c r="I485" s="96">
        <v>0</v>
      </c>
      <c r="J485" s="94" t="s">
        <v>268</v>
      </c>
    </row>
    <row r="486" spans="1:10" hidden="1" x14ac:dyDescent="0.2">
      <c r="A486" s="94" t="s">
        <v>265</v>
      </c>
      <c r="B486" s="95">
        <v>2025</v>
      </c>
      <c r="C486" s="95">
        <v>88</v>
      </c>
      <c r="D486" s="94" t="s">
        <v>338</v>
      </c>
      <c r="E486" s="95">
        <v>11</v>
      </c>
      <c r="F486" s="95">
        <v>25</v>
      </c>
      <c r="G486" s="94" t="s">
        <v>273</v>
      </c>
      <c r="H486" s="167">
        <v>223.35</v>
      </c>
      <c r="I486" s="96">
        <v>0</v>
      </c>
      <c r="J486" s="94" t="s">
        <v>268</v>
      </c>
    </row>
    <row r="487" spans="1:10" hidden="1" x14ac:dyDescent="0.2">
      <c r="A487" s="94" t="s">
        <v>265</v>
      </c>
      <c r="B487" s="95">
        <v>2025</v>
      </c>
      <c r="C487" s="95">
        <v>88</v>
      </c>
      <c r="D487" s="94" t="s">
        <v>338</v>
      </c>
      <c r="E487" s="95">
        <v>11</v>
      </c>
      <c r="F487" s="95">
        <v>51</v>
      </c>
      <c r="G487" s="94" t="s">
        <v>274</v>
      </c>
      <c r="H487" s="167">
        <v>154</v>
      </c>
      <c r="I487" s="96">
        <v>0</v>
      </c>
      <c r="J487" s="94" t="s">
        <v>268</v>
      </c>
    </row>
    <row r="488" spans="1:10" hidden="1" x14ac:dyDescent="0.2">
      <c r="A488" s="94" t="s">
        <v>265</v>
      </c>
      <c r="B488" s="95">
        <v>2025</v>
      </c>
      <c r="C488" s="95">
        <v>88</v>
      </c>
      <c r="D488" s="94" t="s">
        <v>338</v>
      </c>
      <c r="E488" s="95">
        <v>11</v>
      </c>
      <c r="F488" s="95">
        <v>93</v>
      </c>
      <c r="G488" s="94" t="s">
        <v>275</v>
      </c>
      <c r="H488" s="167">
        <v>828.3</v>
      </c>
      <c r="I488" s="96">
        <v>0</v>
      </c>
      <c r="J488" s="94" t="s">
        <v>268</v>
      </c>
    </row>
    <row r="489" spans="1:10" hidden="1" x14ac:dyDescent="0.2">
      <c r="A489" s="94" t="s">
        <v>265</v>
      </c>
      <c r="B489" s="95">
        <v>2025</v>
      </c>
      <c r="C489" s="95">
        <v>89</v>
      </c>
      <c r="D489" s="94" t="s">
        <v>339</v>
      </c>
      <c r="E489" s="95">
        <v>11</v>
      </c>
      <c r="F489" s="95">
        <v>1</v>
      </c>
      <c r="G489" s="94" t="s">
        <v>267</v>
      </c>
      <c r="H489" s="167">
        <v>22400</v>
      </c>
      <c r="I489" s="96">
        <v>0</v>
      </c>
      <c r="J489" s="94" t="s">
        <v>268</v>
      </c>
    </row>
    <row r="490" spans="1:10" hidden="1" x14ac:dyDescent="0.2">
      <c r="A490" s="94" t="s">
        <v>265</v>
      </c>
      <c r="B490" s="95">
        <v>2025</v>
      </c>
      <c r="C490" s="95">
        <v>89</v>
      </c>
      <c r="D490" s="94" t="s">
        <v>339</v>
      </c>
      <c r="E490" s="95">
        <v>11</v>
      </c>
      <c r="F490" s="95">
        <v>3</v>
      </c>
      <c r="G490" s="94" t="s">
        <v>269</v>
      </c>
      <c r="H490" s="167">
        <v>281.13</v>
      </c>
      <c r="I490" s="96">
        <v>0</v>
      </c>
      <c r="J490" s="94" t="s">
        <v>268</v>
      </c>
    </row>
    <row r="491" spans="1:10" hidden="1" x14ac:dyDescent="0.2">
      <c r="A491" s="94" t="s">
        <v>265</v>
      </c>
      <c r="B491" s="95">
        <v>2025</v>
      </c>
      <c r="C491" s="95">
        <v>89</v>
      </c>
      <c r="D491" s="94" t="s">
        <v>339</v>
      </c>
      <c r="E491" s="95">
        <v>11</v>
      </c>
      <c r="F491" s="95">
        <v>4</v>
      </c>
      <c r="G491" s="94" t="s">
        <v>270</v>
      </c>
      <c r="H491" s="167">
        <v>315</v>
      </c>
      <c r="I491" s="96">
        <v>0</v>
      </c>
      <c r="J491" s="94" t="s">
        <v>268</v>
      </c>
    </row>
    <row r="492" spans="1:10" hidden="1" x14ac:dyDescent="0.2">
      <c r="A492" s="94" t="s">
        <v>265</v>
      </c>
      <c r="B492" s="95">
        <v>2025</v>
      </c>
      <c r="C492" s="95">
        <v>89</v>
      </c>
      <c r="D492" s="94" t="s">
        <v>339</v>
      </c>
      <c r="E492" s="95">
        <v>11</v>
      </c>
      <c r="F492" s="95">
        <v>6</v>
      </c>
      <c r="G492" s="94" t="s">
        <v>271</v>
      </c>
      <c r="H492" s="167">
        <v>9600</v>
      </c>
      <c r="I492" s="96">
        <v>0</v>
      </c>
      <c r="J492" s="94" t="s">
        <v>268</v>
      </c>
    </row>
    <row r="493" spans="1:10" x14ac:dyDescent="0.2">
      <c r="A493" s="94" t="s">
        <v>265</v>
      </c>
      <c r="B493" s="95">
        <v>2025</v>
      </c>
      <c r="C493" s="95">
        <v>89</v>
      </c>
      <c r="D493" s="94" t="s">
        <v>339</v>
      </c>
      <c r="E493" s="95">
        <v>11</v>
      </c>
      <c r="F493" s="95">
        <v>15</v>
      </c>
      <c r="G493" s="94" t="s">
        <v>281</v>
      </c>
      <c r="H493" s="167">
        <v>14388.08</v>
      </c>
      <c r="I493" s="96">
        <v>0</v>
      </c>
      <c r="J493" s="94" t="s">
        <v>268</v>
      </c>
    </row>
    <row r="494" spans="1:10" hidden="1" x14ac:dyDescent="0.2">
      <c r="A494" s="94" t="s">
        <v>265</v>
      </c>
      <c r="B494" s="95">
        <v>2025</v>
      </c>
      <c r="C494" s="95">
        <v>89</v>
      </c>
      <c r="D494" s="94" t="s">
        <v>339</v>
      </c>
      <c r="E494" s="95">
        <v>11</v>
      </c>
      <c r="F494" s="95">
        <v>24</v>
      </c>
      <c r="G494" s="94" t="s">
        <v>272</v>
      </c>
      <c r="H494" s="167">
        <v>999.69</v>
      </c>
      <c r="I494" s="96">
        <v>0</v>
      </c>
      <c r="J494" s="94" t="s">
        <v>268</v>
      </c>
    </row>
    <row r="495" spans="1:10" hidden="1" x14ac:dyDescent="0.2">
      <c r="A495" s="94" t="s">
        <v>265</v>
      </c>
      <c r="B495" s="95">
        <v>2025</v>
      </c>
      <c r="C495" s="95">
        <v>89</v>
      </c>
      <c r="D495" s="94" t="s">
        <v>339</v>
      </c>
      <c r="E495" s="95">
        <v>11</v>
      </c>
      <c r="F495" s="95">
        <v>25</v>
      </c>
      <c r="G495" s="94" t="s">
        <v>273</v>
      </c>
      <c r="H495" s="167">
        <v>221.45</v>
      </c>
      <c r="I495" s="96">
        <v>0</v>
      </c>
      <c r="J495" s="94" t="s">
        <v>268</v>
      </c>
    </row>
    <row r="496" spans="1:10" hidden="1" x14ac:dyDescent="0.2">
      <c r="A496" s="94" t="s">
        <v>265</v>
      </c>
      <c r="B496" s="95">
        <v>2025</v>
      </c>
      <c r="C496" s="95">
        <v>89</v>
      </c>
      <c r="D496" s="94" t="s">
        <v>339</v>
      </c>
      <c r="E496" s="95">
        <v>11</v>
      </c>
      <c r="F496" s="95">
        <v>51</v>
      </c>
      <c r="G496" s="94" t="s">
        <v>274</v>
      </c>
      <c r="H496" s="167">
        <v>154</v>
      </c>
      <c r="I496" s="96">
        <v>0</v>
      </c>
      <c r="J496" s="94" t="s">
        <v>268</v>
      </c>
    </row>
    <row r="497" spans="1:10" hidden="1" x14ac:dyDescent="0.2">
      <c r="A497" s="94" t="s">
        <v>265</v>
      </c>
      <c r="B497" s="95">
        <v>2025</v>
      </c>
      <c r="C497" s="95">
        <v>90</v>
      </c>
      <c r="D497" s="94" t="s">
        <v>340</v>
      </c>
      <c r="E497" s="95">
        <v>11</v>
      </c>
      <c r="F497" s="95">
        <v>1</v>
      </c>
      <c r="G497" s="94" t="s">
        <v>267</v>
      </c>
      <c r="H497" s="167">
        <v>27263.599999999999</v>
      </c>
      <c r="I497" s="96">
        <v>0</v>
      </c>
      <c r="J497" s="94" t="s">
        <v>268</v>
      </c>
    </row>
    <row r="498" spans="1:10" hidden="1" x14ac:dyDescent="0.2">
      <c r="A498" s="94" t="s">
        <v>265</v>
      </c>
      <c r="B498" s="95">
        <v>2025</v>
      </c>
      <c r="C498" s="95">
        <v>90</v>
      </c>
      <c r="D498" s="94" t="s">
        <v>340</v>
      </c>
      <c r="E498" s="95">
        <v>11</v>
      </c>
      <c r="F498" s="95">
        <v>3</v>
      </c>
      <c r="G498" s="94" t="s">
        <v>269</v>
      </c>
      <c r="H498" s="167">
        <v>281.13</v>
      </c>
      <c r="I498" s="96">
        <v>0</v>
      </c>
      <c r="J498" s="94" t="s">
        <v>268</v>
      </c>
    </row>
    <row r="499" spans="1:10" hidden="1" x14ac:dyDescent="0.2">
      <c r="A499" s="94" t="s">
        <v>265</v>
      </c>
      <c r="B499" s="95">
        <v>2025</v>
      </c>
      <c r="C499" s="95">
        <v>90</v>
      </c>
      <c r="D499" s="94" t="s">
        <v>340</v>
      </c>
      <c r="E499" s="95">
        <v>11</v>
      </c>
      <c r="F499" s="95">
        <v>4</v>
      </c>
      <c r="G499" s="94" t="s">
        <v>270</v>
      </c>
      <c r="H499" s="167">
        <v>315</v>
      </c>
      <c r="I499" s="96">
        <v>0</v>
      </c>
      <c r="J499" s="94" t="s">
        <v>268</v>
      </c>
    </row>
    <row r="500" spans="1:10" hidden="1" x14ac:dyDescent="0.2">
      <c r="A500" s="94" t="s">
        <v>265</v>
      </c>
      <c r="B500" s="95">
        <v>2025</v>
      </c>
      <c r="C500" s="95">
        <v>90</v>
      </c>
      <c r="D500" s="94" t="s">
        <v>340</v>
      </c>
      <c r="E500" s="95">
        <v>11</v>
      </c>
      <c r="F500" s="95">
        <v>6</v>
      </c>
      <c r="G500" s="94" t="s">
        <v>271</v>
      </c>
      <c r="H500" s="167">
        <v>11684.4</v>
      </c>
      <c r="I500" s="96">
        <v>0</v>
      </c>
      <c r="J500" s="94" t="s">
        <v>268</v>
      </c>
    </row>
    <row r="501" spans="1:10" hidden="1" x14ac:dyDescent="0.2">
      <c r="A501" s="94" t="s">
        <v>265</v>
      </c>
      <c r="B501" s="95">
        <v>2025</v>
      </c>
      <c r="C501" s="95">
        <v>90</v>
      </c>
      <c r="D501" s="94" t="s">
        <v>340</v>
      </c>
      <c r="E501" s="95">
        <v>11</v>
      </c>
      <c r="F501" s="95">
        <v>24</v>
      </c>
      <c r="G501" s="94" t="s">
        <v>272</v>
      </c>
      <c r="H501" s="167">
        <v>999.46</v>
      </c>
      <c r="I501" s="96">
        <v>0</v>
      </c>
      <c r="J501" s="94" t="s">
        <v>268</v>
      </c>
    </row>
    <row r="502" spans="1:10" hidden="1" x14ac:dyDescent="0.2">
      <c r="A502" s="94" t="s">
        <v>265</v>
      </c>
      <c r="B502" s="95">
        <v>2025</v>
      </c>
      <c r="C502" s="95">
        <v>90</v>
      </c>
      <c r="D502" s="94" t="s">
        <v>340</v>
      </c>
      <c r="E502" s="95">
        <v>11</v>
      </c>
      <c r="F502" s="95">
        <v>25</v>
      </c>
      <c r="G502" s="94" t="s">
        <v>273</v>
      </c>
      <c r="H502" s="167">
        <v>223.39</v>
      </c>
      <c r="I502" s="96">
        <v>0</v>
      </c>
      <c r="J502" s="94" t="s">
        <v>268</v>
      </c>
    </row>
    <row r="503" spans="1:10" hidden="1" x14ac:dyDescent="0.2">
      <c r="A503" s="94" t="s">
        <v>265</v>
      </c>
      <c r="B503" s="95">
        <v>2025</v>
      </c>
      <c r="C503" s="95">
        <v>90</v>
      </c>
      <c r="D503" s="94" t="s">
        <v>340</v>
      </c>
      <c r="E503" s="95">
        <v>11</v>
      </c>
      <c r="F503" s="95">
        <v>51</v>
      </c>
      <c r="G503" s="94" t="s">
        <v>274</v>
      </c>
      <c r="H503" s="167">
        <v>154</v>
      </c>
      <c r="I503" s="96">
        <v>0</v>
      </c>
      <c r="J503" s="94" t="s">
        <v>268</v>
      </c>
    </row>
    <row r="504" spans="1:10" x14ac:dyDescent="0.2">
      <c r="A504" s="94" t="s">
        <v>265</v>
      </c>
      <c r="B504" s="95">
        <v>2025</v>
      </c>
      <c r="C504" s="95">
        <v>90</v>
      </c>
      <c r="D504" s="94" t="s">
        <v>340</v>
      </c>
      <c r="E504" s="95">
        <v>11</v>
      </c>
      <c r="F504" s="95">
        <v>61</v>
      </c>
      <c r="G504" s="94" t="s">
        <v>319</v>
      </c>
      <c r="H504" s="167">
        <v>32904.620000000003</v>
      </c>
      <c r="I504" s="96">
        <v>0</v>
      </c>
      <c r="J504" s="94" t="s">
        <v>268</v>
      </c>
    </row>
    <row r="505" spans="1:10" hidden="1" x14ac:dyDescent="0.2">
      <c r="A505" s="94" t="s">
        <v>265</v>
      </c>
      <c r="B505" s="95">
        <v>2025</v>
      </c>
      <c r="C505" s="95">
        <v>94</v>
      </c>
      <c r="D505" s="94" t="s">
        <v>341</v>
      </c>
      <c r="E505" s="95">
        <v>11</v>
      </c>
      <c r="F505" s="95">
        <v>1</v>
      </c>
      <c r="G505" s="94" t="s">
        <v>267</v>
      </c>
      <c r="H505" s="167">
        <v>27300</v>
      </c>
      <c r="I505" s="96">
        <v>0</v>
      </c>
      <c r="J505" s="94" t="s">
        <v>268</v>
      </c>
    </row>
    <row r="506" spans="1:10" hidden="1" x14ac:dyDescent="0.2">
      <c r="A506" s="94" t="s">
        <v>265</v>
      </c>
      <c r="B506" s="95">
        <v>2025</v>
      </c>
      <c r="C506" s="95">
        <v>94</v>
      </c>
      <c r="D506" s="94" t="s">
        <v>341</v>
      </c>
      <c r="E506" s="95">
        <v>11</v>
      </c>
      <c r="F506" s="95">
        <v>3</v>
      </c>
      <c r="G506" s="94" t="s">
        <v>269</v>
      </c>
      <c r="H506" s="167">
        <v>283.01</v>
      </c>
      <c r="I506" s="96">
        <v>0</v>
      </c>
      <c r="J506" s="94" t="s">
        <v>268</v>
      </c>
    </row>
    <row r="507" spans="1:10" hidden="1" x14ac:dyDescent="0.2">
      <c r="A507" s="94" t="s">
        <v>265</v>
      </c>
      <c r="B507" s="95">
        <v>2025</v>
      </c>
      <c r="C507" s="95">
        <v>94</v>
      </c>
      <c r="D507" s="94" t="s">
        <v>341</v>
      </c>
      <c r="E507" s="95">
        <v>11</v>
      </c>
      <c r="F507" s="95">
        <v>4</v>
      </c>
      <c r="G507" s="94" t="s">
        <v>270</v>
      </c>
      <c r="H507" s="167">
        <v>315</v>
      </c>
      <c r="I507" s="96">
        <v>0</v>
      </c>
      <c r="J507" s="94" t="s">
        <v>268</v>
      </c>
    </row>
    <row r="508" spans="1:10" hidden="1" x14ac:dyDescent="0.2">
      <c r="A508" s="94" t="s">
        <v>265</v>
      </c>
      <c r="B508" s="95">
        <v>2025</v>
      </c>
      <c r="C508" s="95">
        <v>94</v>
      </c>
      <c r="D508" s="94" t="s">
        <v>341</v>
      </c>
      <c r="E508" s="95">
        <v>11</v>
      </c>
      <c r="F508" s="95">
        <v>6</v>
      </c>
      <c r="G508" s="94" t="s">
        <v>271</v>
      </c>
      <c r="H508" s="167">
        <v>11700</v>
      </c>
      <c r="I508" s="96">
        <v>0</v>
      </c>
      <c r="J508" s="94" t="s">
        <v>268</v>
      </c>
    </row>
    <row r="509" spans="1:10" hidden="1" x14ac:dyDescent="0.2">
      <c r="A509" s="94" t="s">
        <v>265</v>
      </c>
      <c r="B509" s="95">
        <v>2025</v>
      </c>
      <c r="C509" s="95">
        <v>94</v>
      </c>
      <c r="D509" s="94" t="s">
        <v>341</v>
      </c>
      <c r="E509" s="95">
        <v>11</v>
      </c>
      <c r="F509" s="95">
        <v>24</v>
      </c>
      <c r="G509" s="94" t="s">
        <v>272</v>
      </c>
      <c r="H509" s="167">
        <v>995.55</v>
      </c>
      <c r="I509" s="96">
        <v>0</v>
      </c>
      <c r="J509" s="94" t="s">
        <v>268</v>
      </c>
    </row>
    <row r="510" spans="1:10" hidden="1" x14ac:dyDescent="0.2">
      <c r="A510" s="94" t="s">
        <v>265</v>
      </c>
      <c r="B510" s="95">
        <v>2025</v>
      </c>
      <c r="C510" s="95">
        <v>94</v>
      </c>
      <c r="D510" s="94" t="s">
        <v>341</v>
      </c>
      <c r="E510" s="95">
        <v>11</v>
      </c>
      <c r="F510" s="95">
        <v>25</v>
      </c>
      <c r="G510" s="94" t="s">
        <v>273</v>
      </c>
      <c r="H510" s="167">
        <v>223.38</v>
      </c>
      <c r="I510" s="96">
        <v>0</v>
      </c>
      <c r="J510" s="94" t="s">
        <v>268</v>
      </c>
    </row>
    <row r="511" spans="1:10" hidden="1" x14ac:dyDescent="0.2">
      <c r="A511" s="94" t="s">
        <v>265</v>
      </c>
      <c r="B511" s="95">
        <v>2025</v>
      </c>
      <c r="C511" s="95">
        <v>94</v>
      </c>
      <c r="D511" s="94" t="s">
        <v>341</v>
      </c>
      <c r="E511" s="95">
        <v>11</v>
      </c>
      <c r="F511" s="95">
        <v>51</v>
      </c>
      <c r="G511" s="94" t="s">
        <v>274</v>
      </c>
      <c r="H511" s="167">
        <v>154</v>
      </c>
      <c r="I511" s="96">
        <v>0</v>
      </c>
      <c r="J511" s="94" t="s">
        <v>268</v>
      </c>
    </row>
    <row r="512" spans="1:10" hidden="1" x14ac:dyDescent="0.2">
      <c r="A512" s="94" t="s">
        <v>265</v>
      </c>
      <c r="B512" s="95">
        <v>2025</v>
      </c>
      <c r="C512" s="95">
        <v>95</v>
      </c>
      <c r="D512" s="94" t="s">
        <v>342</v>
      </c>
      <c r="E512" s="95">
        <v>11</v>
      </c>
      <c r="F512" s="95">
        <v>1</v>
      </c>
      <c r="G512" s="94" t="s">
        <v>267</v>
      </c>
      <c r="H512" s="167">
        <v>39998</v>
      </c>
      <c r="I512" s="96">
        <v>0</v>
      </c>
      <c r="J512" s="94" t="s">
        <v>268</v>
      </c>
    </row>
    <row r="513" spans="1:10" hidden="1" x14ac:dyDescent="0.2">
      <c r="A513" s="94" t="s">
        <v>265</v>
      </c>
      <c r="B513" s="95">
        <v>2025</v>
      </c>
      <c r="C513" s="95">
        <v>95</v>
      </c>
      <c r="D513" s="94" t="s">
        <v>342</v>
      </c>
      <c r="E513" s="95">
        <v>11</v>
      </c>
      <c r="F513" s="95">
        <v>3</v>
      </c>
      <c r="G513" s="94" t="s">
        <v>269</v>
      </c>
      <c r="H513" s="167">
        <v>229.99</v>
      </c>
      <c r="I513" s="96">
        <v>0</v>
      </c>
      <c r="J513" s="94" t="s">
        <v>268</v>
      </c>
    </row>
    <row r="514" spans="1:10" hidden="1" x14ac:dyDescent="0.2">
      <c r="A514" s="94" t="s">
        <v>265</v>
      </c>
      <c r="B514" s="95">
        <v>2025</v>
      </c>
      <c r="C514" s="95">
        <v>95</v>
      </c>
      <c r="D514" s="94" t="s">
        <v>342</v>
      </c>
      <c r="E514" s="95">
        <v>11</v>
      </c>
      <c r="F514" s="95">
        <v>4</v>
      </c>
      <c r="G514" s="94" t="s">
        <v>270</v>
      </c>
      <c r="H514" s="167">
        <v>315</v>
      </c>
      <c r="I514" s="96">
        <v>0</v>
      </c>
      <c r="J514" s="94" t="s">
        <v>268</v>
      </c>
    </row>
    <row r="515" spans="1:10" hidden="1" x14ac:dyDescent="0.2">
      <c r="A515" s="94" t="s">
        <v>265</v>
      </c>
      <c r="B515" s="95">
        <v>2025</v>
      </c>
      <c r="C515" s="95">
        <v>95</v>
      </c>
      <c r="D515" s="94" t="s">
        <v>342</v>
      </c>
      <c r="E515" s="95">
        <v>11</v>
      </c>
      <c r="F515" s="95">
        <v>6</v>
      </c>
      <c r="G515" s="94" t="s">
        <v>271</v>
      </c>
      <c r="H515" s="167">
        <v>17142</v>
      </c>
      <c r="I515" s="96">
        <v>0</v>
      </c>
      <c r="J515" s="94" t="s">
        <v>268</v>
      </c>
    </row>
    <row r="516" spans="1:10" hidden="1" x14ac:dyDescent="0.2">
      <c r="A516" s="94" t="s">
        <v>265</v>
      </c>
      <c r="B516" s="95">
        <v>2025</v>
      </c>
      <c r="C516" s="95">
        <v>95</v>
      </c>
      <c r="D516" s="94" t="s">
        <v>342</v>
      </c>
      <c r="E516" s="95">
        <v>11</v>
      </c>
      <c r="F516" s="95">
        <v>24</v>
      </c>
      <c r="G516" s="94" t="s">
        <v>272</v>
      </c>
      <c r="H516" s="167">
        <v>902.15</v>
      </c>
      <c r="I516" s="96">
        <v>0</v>
      </c>
      <c r="J516" s="94" t="s">
        <v>268</v>
      </c>
    </row>
    <row r="517" spans="1:10" hidden="1" x14ac:dyDescent="0.2">
      <c r="A517" s="94" t="s">
        <v>265</v>
      </c>
      <c r="B517" s="95">
        <v>2025</v>
      </c>
      <c r="C517" s="95">
        <v>95</v>
      </c>
      <c r="D517" s="94" t="s">
        <v>342</v>
      </c>
      <c r="E517" s="95">
        <v>11</v>
      </c>
      <c r="F517" s="95">
        <v>25</v>
      </c>
      <c r="G517" s="94" t="s">
        <v>273</v>
      </c>
      <c r="H517" s="167">
        <v>154</v>
      </c>
      <c r="I517" s="96">
        <v>0</v>
      </c>
      <c r="J517" s="94" t="s">
        <v>268</v>
      </c>
    </row>
    <row r="518" spans="1:10" hidden="1" x14ac:dyDescent="0.2">
      <c r="A518" s="94" t="s">
        <v>265</v>
      </c>
      <c r="B518" s="95">
        <v>2025</v>
      </c>
      <c r="C518" s="95">
        <v>95</v>
      </c>
      <c r="D518" s="94" t="s">
        <v>342</v>
      </c>
      <c r="E518" s="95">
        <v>11</v>
      </c>
      <c r="F518" s="95">
        <v>51</v>
      </c>
      <c r="G518" s="94" t="s">
        <v>274</v>
      </c>
      <c r="H518" s="167">
        <v>154</v>
      </c>
      <c r="I518" s="96">
        <v>0</v>
      </c>
      <c r="J518" s="94" t="s">
        <v>268</v>
      </c>
    </row>
    <row r="519" spans="1:10" hidden="1" x14ac:dyDescent="0.2">
      <c r="A519" s="94" t="s">
        <v>265</v>
      </c>
      <c r="B519" s="95">
        <v>2025</v>
      </c>
      <c r="C519" s="95">
        <v>95</v>
      </c>
      <c r="D519" s="94" t="s">
        <v>342</v>
      </c>
      <c r="E519" s="95">
        <v>11</v>
      </c>
      <c r="F519" s="95">
        <v>93</v>
      </c>
      <c r="G519" s="94" t="s">
        <v>275</v>
      </c>
      <c r="H519" s="167">
        <v>2332.11</v>
      </c>
      <c r="I519" s="96">
        <v>0</v>
      </c>
      <c r="J519" s="94" t="s">
        <v>268</v>
      </c>
    </row>
    <row r="520" spans="1:10" hidden="1" x14ac:dyDescent="0.2">
      <c r="A520" s="94" t="s">
        <v>265</v>
      </c>
      <c r="B520" s="95">
        <v>2025</v>
      </c>
      <c r="C520" s="95">
        <v>96</v>
      </c>
      <c r="D520" s="94" t="s">
        <v>343</v>
      </c>
      <c r="E520" s="95">
        <v>11</v>
      </c>
      <c r="F520" s="95">
        <v>1</v>
      </c>
      <c r="G520" s="94" t="s">
        <v>267</v>
      </c>
      <c r="H520" s="167">
        <v>25200</v>
      </c>
      <c r="I520" s="96">
        <v>0</v>
      </c>
      <c r="J520" s="94" t="s">
        <v>268</v>
      </c>
    </row>
    <row r="521" spans="1:10" hidden="1" x14ac:dyDescent="0.2">
      <c r="A521" s="94" t="s">
        <v>265</v>
      </c>
      <c r="B521" s="95">
        <v>2025</v>
      </c>
      <c r="C521" s="95">
        <v>96</v>
      </c>
      <c r="D521" s="94" t="s">
        <v>343</v>
      </c>
      <c r="E521" s="95">
        <v>11</v>
      </c>
      <c r="F521" s="95">
        <v>3</v>
      </c>
      <c r="G521" s="94" t="s">
        <v>269</v>
      </c>
      <c r="H521" s="167">
        <v>283.02</v>
      </c>
      <c r="I521" s="96">
        <v>0</v>
      </c>
      <c r="J521" s="94" t="s">
        <v>268</v>
      </c>
    </row>
    <row r="522" spans="1:10" hidden="1" x14ac:dyDescent="0.2">
      <c r="A522" s="94" t="s">
        <v>265</v>
      </c>
      <c r="B522" s="95">
        <v>2025</v>
      </c>
      <c r="C522" s="95">
        <v>96</v>
      </c>
      <c r="D522" s="94" t="s">
        <v>343</v>
      </c>
      <c r="E522" s="95">
        <v>11</v>
      </c>
      <c r="F522" s="95">
        <v>4</v>
      </c>
      <c r="G522" s="94" t="s">
        <v>270</v>
      </c>
      <c r="H522" s="167">
        <v>315</v>
      </c>
      <c r="I522" s="96">
        <v>0</v>
      </c>
      <c r="J522" s="94" t="s">
        <v>268</v>
      </c>
    </row>
    <row r="523" spans="1:10" hidden="1" x14ac:dyDescent="0.2">
      <c r="A523" s="94" t="s">
        <v>265</v>
      </c>
      <c r="B523" s="95">
        <v>2025</v>
      </c>
      <c r="C523" s="95">
        <v>96</v>
      </c>
      <c r="D523" s="94" t="s">
        <v>343</v>
      </c>
      <c r="E523" s="95">
        <v>11</v>
      </c>
      <c r="F523" s="95">
        <v>6</v>
      </c>
      <c r="G523" s="94" t="s">
        <v>271</v>
      </c>
      <c r="H523" s="167">
        <v>10800</v>
      </c>
      <c r="I523" s="96">
        <v>0</v>
      </c>
      <c r="J523" s="94" t="s">
        <v>268</v>
      </c>
    </row>
    <row r="524" spans="1:10" hidden="1" x14ac:dyDescent="0.2">
      <c r="A524" s="94" t="s">
        <v>265</v>
      </c>
      <c r="B524" s="95">
        <v>2025</v>
      </c>
      <c r="C524" s="95">
        <v>96</v>
      </c>
      <c r="D524" s="94" t="s">
        <v>343</v>
      </c>
      <c r="E524" s="95">
        <v>11</v>
      </c>
      <c r="F524" s="95">
        <v>14</v>
      </c>
      <c r="G524" s="94" t="s">
        <v>284</v>
      </c>
      <c r="H524" s="167">
        <v>2176</v>
      </c>
      <c r="I524" s="96">
        <v>0</v>
      </c>
      <c r="J524" s="94" t="s">
        <v>268</v>
      </c>
    </row>
    <row r="525" spans="1:10" hidden="1" x14ac:dyDescent="0.2">
      <c r="A525" s="94" t="s">
        <v>265</v>
      </c>
      <c r="B525" s="95">
        <v>2025</v>
      </c>
      <c r="C525" s="95">
        <v>96</v>
      </c>
      <c r="D525" s="94" t="s">
        <v>343</v>
      </c>
      <c r="E525" s="95">
        <v>11</v>
      </c>
      <c r="F525" s="95">
        <v>24</v>
      </c>
      <c r="G525" s="94" t="s">
        <v>272</v>
      </c>
      <c r="H525" s="167">
        <v>1000</v>
      </c>
      <c r="I525" s="96">
        <v>0</v>
      </c>
      <c r="J525" s="94" t="s">
        <v>268</v>
      </c>
    </row>
    <row r="526" spans="1:10" hidden="1" x14ac:dyDescent="0.2">
      <c r="A526" s="94" t="s">
        <v>265</v>
      </c>
      <c r="B526" s="95">
        <v>2025</v>
      </c>
      <c r="C526" s="95">
        <v>96</v>
      </c>
      <c r="D526" s="94" t="s">
        <v>343</v>
      </c>
      <c r="E526" s="95">
        <v>11</v>
      </c>
      <c r="F526" s="95">
        <v>25</v>
      </c>
      <c r="G526" s="94" t="s">
        <v>273</v>
      </c>
      <c r="H526" s="167">
        <v>221.48</v>
      </c>
      <c r="I526" s="96">
        <v>0</v>
      </c>
      <c r="J526" s="94" t="s">
        <v>268</v>
      </c>
    </row>
    <row r="527" spans="1:10" hidden="1" x14ac:dyDescent="0.2">
      <c r="A527" s="94" t="s">
        <v>265</v>
      </c>
      <c r="B527" s="95">
        <v>2025</v>
      </c>
      <c r="C527" s="95">
        <v>96</v>
      </c>
      <c r="D527" s="94" t="s">
        <v>343</v>
      </c>
      <c r="E527" s="95">
        <v>11</v>
      </c>
      <c r="F527" s="95">
        <v>51</v>
      </c>
      <c r="G527" s="94" t="s">
        <v>274</v>
      </c>
      <c r="H527" s="167">
        <v>154</v>
      </c>
      <c r="I527" s="96">
        <v>0</v>
      </c>
      <c r="J527" s="94" t="s">
        <v>268</v>
      </c>
    </row>
    <row r="528" spans="1:10" hidden="1" x14ac:dyDescent="0.2">
      <c r="A528" s="94" t="s">
        <v>265</v>
      </c>
      <c r="B528" s="95">
        <v>2025</v>
      </c>
      <c r="C528" s="95">
        <v>98</v>
      </c>
      <c r="D528" s="94" t="s">
        <v>344</v>
      </c>
      <c r="E528" s="95">
        <v>11</v>
      </c>
      <c r="F528" s="95">
        <v>1</v>
      </c>
      <c r="G528" s="94" t="s">
        <v>267</v>
      </c>
      <c r="H528" s="167">
        <v>17821.439999999999</v>
      </c>
      <c r="I528" s="96">
        <v>0</v>
      </c>
      <c r="J528" s="94" t="s">
        <v>268</v>
      </c>
    </row>
    <row r="529" spans="1:10" hidden="1" x14ac:dyDescent="0.2">
      <c r="A529" s="94" t="s">
        <v>265</v>
      </c>
      <c r="B529" s="95">
        <v>2025</v>
      </c>
      <c r="C529" s="95">
        <v>98</v>
      </c>
      <c r="D529" s="94" t="s">
        <v>344</v>
      </c>
      <c r="E529" s="95">
        <v>11</v>
      </c>
      <c r="F529" s="95">
        <v>3</v>
      </c>
      <c r="G529" s="94" t="s">
        <v>269</v>
      </c>
      <c r="H529" s="167">
        <v>216.92</v>
      </c>
      <c r="I529" s="96">
        <v>0</v>
      </c>
      <c r="J529" s="94" t="s">
        <v>268</v>
      </c>
    </row>
    <row r="530" spans="1:10" hidden="1" x14ac:dyDescent="0.2">
      <c r="A530" s="94" t="s">
        <v>265</v>
      </c>
      <c r="B530" s="95">
        <v>2025</v>
      </c>
      <c r="C530" s="95">
        <v>98</v>
      </c>
      <c r="D530" s="94" t="s">
        <v>344</v>
      </c>
      <c r="E530" s="95">
        <v>11</v>
      </c>
      <c r="F530" s="95">
        <v>4</v>
      </c>
      <c r="G530" s="94" t="s">
        <v>270</v>
      </c>
      <c r="H530" s="167">
        <v>410</v>
      </c>
      <c r="I530" s="96">
        <v>0</v>
      </c>
      <c r="J530" s="94" t="s">
        <v>268</v>
      </c>
    </row>
    <row r="531" spans="1:10" hidden="1" x14ac:dyDescent="0.2">
      <c r="A531" s="94" t="s">
        <v>265</v>
      </c>
      <c r="B531" s="95">
        <v>2025</v>
      </c>
      <c r="C531" s="95">
        <v>98</v>
      </c>
      <c r="D531" s="94" t="s">
        <v>344</v>
      </c>
      <c r="E531" s="95">
        <v>11</v>
      </c>
      <c r="F531" s="95">
        <v>6</v>
      </c>
      <c r="G531" s="94" t="s">
        <v>271</v>
      </c>
      <c r="H531" s="167">
        <v>7637.76</v>
      </c>
      <c r="I531" s="96">
        <v>0</v>
      </c>
      <c r="J531" s="94" t="s">
        <v>268</v>
      </c>
    </row>
    <row r="532" spans="1:10" hidden="1" x14ac:dyDescent="0.2">
      <c r="A532" s="94" t="s">
        <v>265</v>
      </c>
      <c r="B532" s="95">
        <v>2025</v>
      </c>
      <c r="C532" s="95">
        <v>98</v>
      </c>
      <c r="D532" s="94" t="s">
        <v>344</v>
      </c>
      <c r="E532" s="95">
        <v>11</v>
      </c>
      <c r="F532" s="95">
        <v>24</v>
      </c>
      <c r="G532" s="94" t="s">
        <v>272</v>
      </c>
      <c r="H532" s="167">
        <v>999.49</v>
      </c>
      <c r="I532" s="96">
        <v>0</v>
      </c>
      <c r="J532" s="94" t="s">
        <v>268</v>
      </c>
    </row>
    <row r="533" spans="1:10" hidden="1" x14ac:dyDescent="0.2">
      <c r="A533" s="94" t="s">
        <v>265</v>
      </c>
      <c r="B533" s="95">
        <v>2025</v>
      </c>
      <c r="C533" s="95">
        <v>98</v>
      </c>
      <c r="D533" s="94" t="s">
        <v>344</v>
      </c>
      <c r="E533" s="95">
        <v>11</v>
      </c>
      <c r="F533" s="95">
        <v>25</v>
      </c>
      <c r="G533" s="94" t="s">
        <v>273</v>
      </c>
      <c r="H533" s="167">
        <v>138.31</v>
      </c>
      <c r="I533" s="96">
        <v>0</v>
      </c>
      <c r="J533" s="94" t="s">
        <v>268</v>
      </c>
    </row>
    <row r="534" spans="1:10" hidden="1" x14ac:dyDescent="0.2">
      <c r="A534" s="94" t="s">
        <v>265</v>
      </c>
      <c r="B534" s="95">
        <v>2025</v>
      </c>
      <c r="C534" s="95">
        <v>98</v>
      </c>
      <c r="D534" s="94" t="s">
        <v>344</v>
      </c>
      <c r="E534" s="95">
        <v>11</v>
      </c>
      <c r="F534" s="95">
        <v>51</v>
      </c>
      <c r="G534" s="94" t="s">
        <v>274</v>
      </c>
      <c r="H534" s="167">
        <v>154</v>
      </c>
      <c r="I534" s="96">
        <v>0</v>
      </c>
      <c r="J534" s="94" t="s">
        <v>268</v>
      </c>
    </row>
    <row r="535" spans="1:10" hidden="1" x14ac:dyDescent="0.2">
      <c r="A535" s="94" t="s">
        <v>265</v>
      </c>
      <c r="B535" s="95">
        <v>2025</v>
      </c>
      <c r="C535" s="95">
        <v>99</v>
      </c>
      <c r="D535" s="94" t="s">
        <v>345</v>
      </c>
      <c r="E535" s="95">
        <v>11</v>
      </c>
      <c r="F535" s="95">
        <v>1</v>
      </c>
      <c r="G535" s="94" t="s">
        <v>267</v>
      </c>
      <c r="H535" s="167">
        <v>34701.33</v>
      </c>
      <c r="I535" s="96">
        <v>0</v>
      </c>
      <c r="J535" s="94" t="s">
        <v>298</v>
      </c>
    </row>
    <row r="536" spans="1:10" hidden="1" x14ac:dyDescent="0.2">
      <c r="A536" s="94" t="s">
        <v>265</v>
      </c>
      <c r="B536" s="95">
        <v>2025</v>
      </c>
      <c r="C536" s="95">
        <v>99</v>
      </c>
      <c r="D536" s="94" t="s">
        <v>345</v>
      </c>
      <c r="E536" s="95">
        <v>11</v>
      </c>
      <c r="F536" s="95">
        <v>3</v>
      </c>
      <c r="G536" s="94" t="s">
        <v>269</v>
      </c>
      <c r="H536" s="167">
        <v>230</v>
      </c>
      <c r="I536" s="96">
        <v>0</v>
      </c>
      <c r="J536" s="94" t="s">
        <v>298</v>
      </c>
    </row>
    <row r="537" spans="1:10" hidden="1" x14ac:dyDescent="0.2">
      <c r="A537" s="94" t="s">
        <v>265</v>
      </c>
      <c r="B537" s="95">
        <v>2025</v>
      </c>
      <c r="C537" s="95">
        <v>99</v>
      </c>
      <c r="D537" s="94" t="s">
        <v>345</v>
      </c>
      <c r="E537" s="95">
        <v>11</v>
      </c>
      <c r="F537" s="95">
        <v>4</v>
      </c>
      <c r="G537" s="94" t="s">
        <v>270</v>
      </c>
      <c r="H537" s="167">
        <v>315</v>
      </c>
      <c r="I537" s="96">
        <v>0</v>
      </c>
      <c r="J537" s="94" t="s">
        <v>298</v>
      </c>
    </row>
    <row r="538" spans="1:10" hidden="1" x14ac:dyDescent="0.2">
      <c r="A538" s="94" t="s">
        <v>265</v>
      </c>
      <c r="B538" s="95">
        <v>2025</v>
      </c>
      <c r="C538" s="95">
        <v>99</v>
      </c>
      <c r="D538" s="94" t="s">
        <v>345</v>
      </c>
      <c r="E538" s="95">
        <v>11</v>
      </c>
      <c r="F538" s="95">
        <v>6</v>
      </c>
      <c r="G538" s="94" t="s">
        <v>271</v>
      </c>
      <c r="H538" s="167">
        <v>14872</v>
      </c>
      <c r="I538" s="96">
        <v>0</v>
      </c>
      <c r="J538" s="94" t="s">
        <v>298</v>
      </c>
    </row>
    <row r="539" spans="1:10" hidden="1" x14ac:dyDescent="0.2">
      <c r="A539" s="94" t="s">
        <v>265</v>
      </c>
      <c r="B539" s="95">
        <v>2025</v>
      </c>
      <c r="C539" s="95">
        <v>99</v>
      </c>
      <c r="D539" s="94" t="s">
        <v>345</v>
      </c>
      <c r="E539" s="95">
        <v>11</v>
      </c>
      <c r="F539" s="95">
        <v>24</v>
      </c>
      <c r="G539" s="94" t="s">
        <v>272</v>
      </c>
      <c r="H539" s="167">
        <v>998.25</v>
      </c>
      <c r="I539" s="96">
        <v>0</v>
      </c>
      <c r="J539" s="94" t="s">
        <v>298</v>
      </c>
    </row>
    <row r="540" spans="1:10" hidden="1" x14ac:dyDescent="0.2">
      <c r="A540" s="94" t="s">
        <v>265</v>
      </c>
      <c r="B540" s="95">
        <v>2025</v>
      </c>
      <c r="C540" s="95">
        <v>99</v>
      </c>
      <c r="D540" s="94" t="s">
        <v>345</v>
      </c>
      <c r="E540" s="95">
        <v>11</v>
      </c>
      <c r="F540" s="95">
        <v>25</v>
      </c>
      <c r="G540" s="94" t="s">
        <v>273</v>
      </c>
      <c r="H540" s="167">
        <v>154</v>
      </c>
      <c r="I540" s="96">
        <v>0</v>
      </c>
      <c r="J540" s="94" t="s">
        <v>298</v>
      </c>
    </row>
    <row r="541" spans="1:10" hidden="1" x14ac:dyDescent="0.2">
      <c r="A541" s="94" t="s">
        <v>265</v>
      </c>
      <c r="B541" s="95">
        <v>2025</v>
      </c>
      <c r="C541" s="95">
        <v>99</v>
      </c>
      <c r="D541" s="94" t="s">
        <v>345</v>
      </c>
      <c r="E541" s="95">
        <v>11</v>
      </c>
      <c r="F541" s="95">
        <v>51</v>
      </c>
      <c r="G541" s="94" t="s">
        <v>274</v>
      </c>
      <c r="H541" s="167">
        <v>154</v>
      </c>
      <c r="I541" s="96">
        <v>0</v>
      </c>
      <c r="J541" s="94" t="s">
        <v>298</v>
      </c>
    </row>
    <row r="542" spans="1:10" hidden="1" x14ac:dyDescent="0.2">
      <c r="A542" s="94" t="s">
        <v>265</v>
      </c>
      <c r="B542" s="95">
        <v>2025</v>
      </c>
      <c r="C542" s="95">
        <v>99</v>
      </c>
      <c r="D542" s="94" t="s">
        <v>345</v>
      </c>
      <c r="E542" s="95">
        <v>11</v>
      </c>
      <c r="F542" s="95">
        <v>93</v>
      </c>
      <c r="G542" s="94" t="s">
        <v>275</v>
      </c>
      <c r="H542" s="167">
        <v>1194.98</v>
      </c>
      <c r="I542" s="96">
        <v>0</v>
      </c>
      <c r="J542" s="94" t="s">
        <v>298</v>
      </c>
    </row>
    <row r="543" spans="1:10" hidden="1" x14ac:dyDescent="0.2">
      <c r="A543" s="94" t="s">
        <v>265</v>
      </c>
      <c r="B543" s="95">
        <v>2025</v>
      </c>
      <c r="C543" s="95">
        <v>100</v>
      </c>
      <c r="D543" s="94" t="s">
        <v>346</v>
      </c>
      <c r="E543" s="95">
        <v>11</v>
      </c>
      <c r="F543" s="95">
        <v>1</v>
      </c>
      <c r="G543" s="94" t="s">
        <v>267</v>
      </c>
      <c r="H543" s="167">
        <v>26180</v>
      </c>
      <c r="I543" s="96">
        <v>0</v>
      </c>
      <c r="J543" s="94" t="s">
        <v>268</v>
      </c>
    </row>
    <row r="544" spans="1:10" hidden="1" x14ac:dyDescent="0.2">
      <c r="A544" s="94" t="s">
        <v>265</v>
      </c>
      <c r="B544" s="95">
        <v>2025</v>
      </c>
      <c r="C544" s="95">
        <v>100</v>
      </c>
      <c r="D544" s="94" t="s">
        <v>346</v>
      </c>
      <c r="E544" s="95">
        <v>11</v>
      </c>
      <c r="F544" s="95">
        <v>3</v>
      </c>
      <c r="G544" s="94" t="s">
        <v>269</v>
      </c>
      <c r="H544" s="167">
        <v>216.93</v>
      </c>
      <c r="I544" s="96">
        <v>0</v>
      </c>
      <c r="J544" s="94" t="s">
        <v>268</v>
      </c>
    </row>
    <row r="545" spans="1:10" hidden="1" x14ac:dyDescent="0.2">
      <c r="A545" s="94" t="s">
        <v>265</v>
      </c>
      <c r="B545" s="95">
        <v>2025</v>
      </c>
      <c r="C545" s="95">
        <v>100</v>
      </c>
      <c r="D545" s="94" t="s">
        <v>346</v>
      </c>
      <c r="E545" s="95">
        <v>11</v>
      </c>
      <c r="F545" s="95">
        <v>4</v>
      </c>
      <c r="G545" s="94" t="s">
        <v>270</v>
      </c>
      <c r="H545" s="167">
        <v>315</v>
      </c>
      <c r="I545" s="96">
        <v>0</v>
      </c>
      <c r="J545" s="94" t="s">
        <v>268</v>
      </c>
    </row>
    <row r="546" spans="1:10" hidden="1" x14ac:dyDescent="0.2">
      <c r="A546" s="94" t="s">
        <v>265</v>
      </c>
      <c r="B546" s="95">
        <v>2025</v>
      </c>
      <c r="C546" s="95">
        <v>100</v>
      </c>
      <c r="D546" s="94" t="s">
        <v>346</v>
      </c>
      <c r="E546" s="95">
        <v>11</v>
      </c>
      <c r="F546" s="95">
        <v>6</v>
      </c>
      <c r="G546" s="94" t="s">
        <v>271</v>
      </c>
      <c r="H546" s="167">
        <v>11220</v>
      </c>
      <c r="I546" s="96">
        <v>0</v>
      </c>
      <c r="J546" s="94" t="s">
        <v>268</v>
      </c>
    </row>
    <row r="547" spans="1:10" hidden="1" x14ac:dyDescent="0.2">
      <c r="A547" s="94" t="s">
        <v>265</v>
      </c>
      <c r="B547" s="95">
        <v>2025</v>
      </c>
      <c r="C547" s="95">
        <v>100</v>
      </c>
      <c r="D547" s="94" t="s">
        <v>346</v>
      </c>
      <c r="E547" s="95">
        <v>11</v>
      </c>
      <c r="F547" s="95">
        <v>24</v>
      </c>
      <c r="G547" s="94" t="s">
        <v>272</v>
      </c>
      <c r="H547" s="167">
        <v>881.9</v>
      </c>
      <c r="I547" s="96">
        <v>0</v>
      </c>
      <c r="J547" s="94" t="s">
        <v>268</v>
      </c>
    </row>
    <row r="548" spans="1:10" hidden="1" x14ac:dyDescent="0.2">
      <c r="A548" s="94" t="s">
        <v>265</v>
      </c>
      <c r="B548" s="95">
        <v>2025</v>
      </c>
      <c r="C548" s="95">
        <v>100</v>
      </c>
      <c r="D548" s="94" t="s">
        <v>346</v>
      </c>
      <c r="E548" s="95">
        <v>11</v>
      </c>
      <c r="F548" s="95">
        <v>25</v>
      </c>
      <c r="G548" s="94" t="s">
        <v>273</v>
      </c>
      <c r="H548" s="167">
        <v>138.32</v>
      </c>
      <c r="I548" s="96">
        <v>0</v>
      </c>
      <c r="J548" s="94" t="s">
        <v>268</v>
      </c>
    </row>
    <row r="549" spans="1:10" hidden="1" x14ac:dyDescent="0.2">
      <c r="A549" s="94" t="s">
        <v>265</v>
      </c>
      <c r="B549" s="95">
        <v>2025</v>
      </c>
      <c r="C549" s="95">
        <v>100</v>
      </c>
      <c r="D549" s="94" t="s">
        <v>346</v>
      </c>
      <c r="E549" s="95">
        <v>11</v>
      </c>
      <c r="F549" s="95">
        <v>51</v>
      </c>
      <c r="G549" s="94" t="s">
        <v>274</v>
      </c>
      <c r="H549" s="167">
        <v>154</v>
      </c>
      <c r="I549" s="96">
        <v>0</v>
      </c>
      <c r="J549" s="94" t="s">
        <v>268</v>
      </c>
    </row>
    <row r="550" spans="1:10" hidden="1" x14ac:dyDescent="0.2">
      <c r="A550" s="94" t="s">
        <v>265</v>
      </c>
      <c r="B550" s="95">
        <v>2025</v>
      </c>
      <c r="C550" s="95">
        <v>101</v>
      </c>
      <c r="D550" s="94" t="s">
        <v>347</v>
      </c>
      <c r="E550" s="95">
        <v>11</v>
      </c>
      <c r="F550" s="95">
        <v>1</v>
      </c>
      <c r="G550" s="94" t="s">
        <v>267</v>
      </c>
      <c r="H550" s="167">
        <v>39725</v>
      </c>
      <c r="I550" s="96">
        <v>0</v>
      </c>
      <c r="J550" s="94" t="s">
        <v>268</v>
      </c>
    </row>
    <row r="551" spans="1:10" hidden="1" x14ac:dyDescent="0.2">
      <c r="A551" s="94" t="s">
        <v>265</v>
      </c>
      <c r="B551" s="95">
        <v>2025</v>
      </c>
      <c r="C551" s="95">
        <v>101</v>
      </c>
      <c r="D551" s="94" t="s">
        <v>347</v>
      </c>
      <c r="E551" s="95">
        <v>11</v>
      </c>
      <c r="F551" s="95">
        <v>3</v>
      </c>
      <c r="G551" s="94" t="s">
        <v>269</v>
      </c>
      <c r="H551" s="167">
        <v>230</v>
      </c>
      <c r="I551" s="96">
        <v>0</v>
      </c>
      <c r="J551" s="94" t="s">
        <v>268</v>
      </c>
    </row>
    <row r="552" spans="1:10" hidden="1" x14ac:dyDescent="0.2">
      <c r="A552" s="94" t="s">
        <v>265</v>
      </c>
      <c r="B552" s="95">
        <v>2025</v>
      </c>
      <c r="C552" s="95">
        <v>101</v>
      </c>
      <c r="D552" s="94" t="s">
        <v>347</v>
      </c>
      <c r="E552" s="95">
        <v>11</v>
      </c>
      <c r="F552" s="95">
        <v>4</v>
      </c>
      <c r="G552" s="94" t="s">
        <v>270</v>
      </c>
      <c r="H552" s="167">
        <v>315</v>
      </c>
      <c r="I552" s="96">
        <v>0</v>
      </c>
      <c r="J552" s="94" t="s">
        <v>268</v>
      </c>
    </row>
    <row r="553" spans="1:10" hidden="1" x14ac:dyDescent="0.2">
      <c r="A553" s="94" t="s">
        <v>265</v>
      </c>
      <c r="B553" s="95">
        <v>2025</v>
      </c>
      <c r="C553" s="95">
        <v>101</v>
      </c>
      <c r="D553" s="94" t="s">
        <v>347</v>
      </c>
      <c r="E553" s="95">
        <v>11</v>
      </c>
      <c r="F553" s="95">
        <v>6</v>
      </c>
      <c r="G553" s="94" t="s">
        <v>271</v>
      </c>
      <c r="H553" s="167">
        <v>17025</v>
      </c>
      <c r="I553" s="96">
        <v>0</v>
      </c>
      <c r="J553" s="94" t="s">
        <v>268</v>
      </c>
    </row>
    <row r="554" spans="1:10" hidden="1" x14ac:dyDescent="0.2">
      <c r="A554" s="94" t="s">
        <v>265</v>
      </c>
      <c r="B554" s="95">
        <v>2025</v>
      </c>
      <c r="C554" s="95">
        <v>101</v>
      </c>
      <c r="D554" s="94" t="s">
        <v>347</v>
      </c>
      <c r="E554" s="95">
        <v>11</v>
      </c>
      <c r="F554" s="95">
        <v>24</v>
      </c>
      <c r="G554" s="94" t="s">
        <v>272</v>
      </c>
      <c r="H554" s="167">
        <v>950.6</v>
      </c>
      <c r="I554" s="96">
        <v>0</v>
      </c>
      <c r="J554" s="94" t="s">
        <v>268</v>
      </c>
    </row>
    <row r="555" spans="1:10" hidden="1" x14ac:dyDescent="0.2">
      <c r="A555" s="94" t="s">
        <v>265</v>
      </c>
      <c r="B555" s="95">
        <v>2025</v>
      </c>
      <c r="C555" s="95">
        <v>101</v>
      </c>
      <c r="D555" s="94" t="s">
        <v>347</v>
      </c>
      <c r="E555" s="95">
        <v>11</v>
      </c>
      <c r="F555" s="95">
        <v>25</v>
      </c>
      <c r="G555" s="94" t="s">
        <v>273</v>
      </c>
      <c r="H555" s="167">
        <v>154</v>
      </c>
      <c r="I555" s="96">
        <v>0</v>
      </c>
      <c r="J555" s="94" t="s">
        <v>268</v>
      </c>
    </row>
    <row r="556" spans="1:10" hidden="1" x14ac:dyDescent="0.2">
      <c r="A556" s="94" t="s">
        <v>265</v>
      </c>
      <c r="B556" s="95">
        <v>2025</v>
      </c>
      <c r="C556" s="95">
        <v>101</v>
      </c>
      <c r="D556" s="94" t="s">
        <v>347</v>
      </c>
      <c r="E556" s="95">
        <v>11</v>
      </c>
      <c r="F556" s="95">
        <v>51</v>
      </c>
      <c r="G556" s="94" t="s">
        <v>274</v>
      </c>
      <c r="H556" s="167">
        <v>154</v>
      </c>
      <c r="I556" s="96">
        <v>0</v>
      </c>
      <c r="J556" s="94" t="s">
        <v>268</v>
      </c>
    </row>
    <row r="557" spans="1:10" hidden="1" x14ac:dyDescent="0.2">
      <c r="A557" s="94" t="s">
        <v>265</v>
      </c>
      <c r="B557" s="95">
        <v>2025</v>
      </c>
      <c r="C557" s="95">
        <v>101</v>
      </c>
      <c r="D557" s="94" t="s">
        <v>347</v>
      </c>
      <c r="E557" s="95">
        <v>11</v>
      </c>
      <c r="F557" s="95">
        <v>93</v>
      </c>
      <c r="G557" s="94" t="s">
        <v>275</v>
      </c>
      <c r="H557" s="167">
        <v>2384.5300000000002</v>
      </c>
      <c r="I557" s="96">
        <v>0</v>
      </c>
      <c r="J557" s="94" t="s">
        <v>268</v>
      </c>
    </row>
    <row r="558" spans="1:10" hidden="1" x14ac:dyDescent="0.2">
      <c r="A558" s="94" t="s">
        <v>265</v>
      </c>
      <c r="B558" s="95">
        <v>2025</v>
      </c>
      <c r="C558" s="95">
        <v>102</v>
      </c>
      <c r="D558" s="94" t="s">
        <v>348</v>
      </c>
      <c r="E558" s="95">
        <v>11</v>
      </c>
      <c r="F558" s="95">
        <v>1</v>
      </c>
      <c r="G558" s="94" t="s">
        <v>267</v>
      </c>
      <c r="H558" s="167">
        <v>55983.85</v>
      </c>
      <c r="I558" s="96">
        <v>0</v>
      </c>
      <c r="J558" s="94" t="s">
        <v>268</v>
      </c>
    </row>
    <row r="559" spans="1:10" hidden="1" x14ac:dyDescent="0.2">
      <c r="A559" s="94" t="s">
        <v>265</v>
      </c>
      <c r="B559" s="95">
        <v>2025</v>
      </c>
      <c r="C559" s="95">
        <v>102</v>
      </c>
      <c r="D559" s="94" t="s">
        <v>348</v>
      </c>
      <c r="E559" s="95">
        <v>11</v>
      </c>
      <c r="F559" s="95">
        <v>3</v>
      </c>
      <c r="G559" s="94" t="s">
        <v>269</v>
      </c>
      <c r="H559" s="167">
        <v>230</v>
      </c>
      <c r="I559" s="96">
        <v>0</v>
      </c>
      <c r="J559" s="94" t="s">
        <v>268</v>
      </c>
    </row>
    <row r="560" spans="1:10" hidden="1" x14ac:dyDescent="0.2">
      <c r="A560" s="94" t="s">
        <v>265</v>
      </c>
      <c r="B560" s="95">
        <v>2025</v>
      </c>
      <c r="C560" s="95">
        <v>102</v>
      </c>
      <c r="D560" s="94" t="s">
        <v>348</v>
      </c>
      <c r="E560" s="95">
        <v>11</v>
      </c>
      <c r="F560" s="95">
        <v>4</v>
      </c>
      <c r="G560" s="94" t="s">
        <v>270</v>
      </c>
      <c r="H560" s="167">
        <v>315</v>
      </c>
      <c r="I560" s="96">
        <v>0</v>
      </c>
      <c r="J560" s="94" t="s">
        <v>268</v>
      </c>
    </row>
    <row r="561" spans="1:10" hidden="1" x14ac:dyDescent="0.2">
      <c r="A561" s="94" t="s">
        <v>265</v>
      </c>
      <c r="B561" s="95">
        <v>2025</v>
      </c>
      <c r="C561" s="95">
        <v>102</v>
      </c>
      <c r="D561" s="94" t="s">
        <v>348</v>
      </c>
      <c r="E561" s="95">
        <v>11</v>
      </c>
      <c r="F561" s="95">
        <v>6</v>
      </c>
      <c r="G561" s="94" t="s">
        <v>271</v>
      </c>
      <c r="H561" s="167">
        <v>23993.08</v>
      </c>
      <c r="I561" s="96">
        <v>0</v>
      </c>
      <c r="J561" s="94" t="s">
        <v>268</v>
      </c>
    </row>
    <row r="562" spans="1:10" hidden="1" x14ac:dyDescent="0.2">
      <c r="A562" s="94" t="s">
        <v>265</v>
      </c>
      <c r="B562" s="95">
        <v>2025</v>
      </c>
      <c r="C562" s="95">
        <v>102</v>
      </c>
      <c r="D562" s="94" t="s">
        <v>348</v>
      </c>
      <c r="E562" s="95">
        <v>11</v>
      </c>
      <c r="F562" s="95">
        <v>14</v>
      </c>
      <c r="G562" s="94" t="s">
        <v>284</v>
      </c>
      <c r="H562" s="167">
        <v>17236.3</v>
      </c>
      <c r="I562" s="96">
        <v>0</v>
      </c>
      <c r="J562" s="94" t="s">
        <v>268</v>
      </c>
    </row>
    <row r="563" spans="1:10" hidden="1" x14ac:dyDescent="0.2">
      <c r="A563" s="94" t="s">
        <v>265</v>
      </c>
      <c r="B563" s="95">
        <v>2025</v>
      </c>
      <c r="C563" s="95">
        <v>102</v>
      </c>
      <c r="D563" s="94" t="s">
        <v>348</v>
      </c>
      <c r="E563" s="95">
        <v>11</v>
      </c>
      <c r="F563" s="95">
        <v>24</v>
      </c>
      <c r="G563" s="94" t="s">
        <v>272</v>
      </c>
      <c r="H563" s="167">
        <v>973.28</v>
      </c>
      <c r="I563" s="96">
        <v>0</v>
      </c>
      <c r="J563" s="94" t="s">
        <v>268</v>
      </c>
    </row>
    <row r="564" spans="1:10" hidden="1" x14ac:dyDescent="0.2">
      <c r="A564" s="94" t="s">
        <v>265</v>
      </c>
      <c r="B564" s="95">
        <v>2025</v>
      </c>
      <c r="C564" s="95">
        <v>102</v>
      </c>
      <c r="D564" s="94" t="s">
        <v>348</v>
      </c>
      <c r="E564" s="95">
        <v>11</v>
      </c>
      <c r="F564" s="95">
        <v>25</v>
      </c>
      <c r="G564" s="94" t="s">
        <v>273</v>
      </c>
      <c r="H564" s="167">
        <v>154</v>
      </c>
      <c r="I564" s="96">
        <v>0</v>
      </c>
      <c r="J564" s="94" t="s">
        <v>268</v>
      </c>
    </row>
    <row r="565" spans="1:10" hidden="1" x14ac:dyDescent="0.2">
      <c r="A565" s="94" t="s">
        <v>265</v>
      </c>
      <c r="B565" s="95">
        <v>2025</v>
      </c>
      <c r="C565" s="95">
        <v>102</v>
      </c>
      <c r="D565" s="94" t="s">
        <v>348</v>
      </c>
      <c r="E565" s="95">
        <v>11</v>
      </c>
      <c r="F565" s="95">
        <v>51</v>
      </c>
      <c r="G565" s="94" t="s">
        <v>274</v>
      </c>
      <c r="H565" s="167">
        <v>154</v>
      </c>
      <c r="I565" s="96">
        <v>0</v>
      </c>
      <c r="J565" s="94" t="s">
        <v>268</v>
      </c>
    </row>
    <row r="566" spans="1:10" hidden="1" x14ac:dyDescent="0.2">
      <c r="A566" s="94" t="s">
        <v>265</v>
      </c>
      <c r="B566" s="95">
        <v>2025</v>
      </c>
      <c r="C566" s="95">
        <v>102</v>
      </c>
      <c r="D566" s="94" t="s">
        <v>348</v>
      </c>
      <c r="E566" s="95">
        <v>11</v>
      </c>
      <c r="F566" s="95">
        <v>93</v>
      </c>
      <c r="G566" s="94" t="s">
        <v>275</v>
      </c>
      <c r="H566" s="167">
        <v>6912.04</v>
      </c>
      <c r="I566" s="96">
        <v>0</v>
      </c>
      <c r="J566" s="94" t="s">
        <v>268</v>
      </c>
    </row>
    <row r="567" spans="1:10" hidden="1" x14ac:dyDescent="0.2">
      <c r="A567" s="94" t="s">
        <v>265</v>
      </c>
      <c r="B567" s="95">
        <v>2025</v>
      </c>
      <c r="C567" s="95">
        <v>103</v>
      </c>
      <c r="D567" s="94" t="s">
        <v>349</v>
      </c>
      <c r="E567" s="95">
        <v>11</v>
      </c>
      <c r="F567" s="95">
        <v>1</v>
      </c>
      <c r="G567" s="94" t="s">
        <v>267</v>
      </c>
      <c r="H567" s="167">
        <v>39900</v>
      </c>
      <c r="I567" s="96">
        <v>0</v>
      </c>
      <c r="J567" s="94" t="s">
        <v>268</v>
      </c>
    </row>
    <row r="568" spans="1:10" hidden="1" x14ac:dyDescent="0.2">
      <c r="A568" s="94" t="s">
        <v>265</v>
      </c>
      <c r="B568" s="95">
        <v>2025</v>
      </c>
      <c r="C568" s="95">
        <v>103</v>
      </c>
      <c r="D568" s="94" t="s">
        <v>349</v>
      </c>
      <c r="E568" s="95">
        <v>11</v>
      </c>
      <c r="F568" s="95">
        <v>3</v>
      </c>
      <c r="G568" s="94" t="s">
        <v>269</v>
      </c>
      <c r="H568" s="167">
        <v>229.99</v>
      </c>
      <c r="I568" s="96">
        <v>0</v>
      </c>
      <c r="J568" s="94" t="s">
        <v>268</v>
      </c>
    </row>
    <row r="569" spans="1:10" hidden="1" x14ac:dyDescent="0.2">
      <c r="A569" s="94" t="s">
        <v>265</v>
      </c>
      <c r="B569" s="95">
        <v>2025</v>
      </c>
      <c r="C569" s="95">
        <v>103</v>
      </c>
      <c r="D569" s="94" t="s">
        <v>349</v>
      </c>
      <c r="E569" s="95">
        <v>11</v>
      </c>
      <c r="F569" s="95">
        <v>4</v>
      </c>
      <c r="G569" s="94" t="s">
        <v>270</v>
      </c>
      <c r="H569" s="167">
        <v>315</v>
      </c>
      <c r="I569" s="96">
        <v>0</v>
      </c>
      <c r="J569" s="94" t="s">
        <v>268</v>
      </c>
    </row>
    <row r="570" spans="1:10" hidden="1" x14ac:dyDescent="0.2">
      <c r="A570" s="94" t="s">
        <v>265</v>
      </c>
      <c r="B570" s="95">
        <v>2025</v>
      </c>
      <c r="C570" s="95">
        <v>103</v>
      </c>
      <c r="D570" s="94" t="s">
        <v>349</v>
      </c>
      <c r="E570" s="95">
        <v>11</v>
      </c>
      <c r="F570" s="95">
        <v>6</v>
      </c>
      <c r="G570" s="94" t="s">
        <v>271</v>
      </c>
      <c r="H570" s="167">
        <v>17100</v>
      </c>
      <c r="I570" s="96">
        <v>0</v>
      </c>
      <c r="J570" s="94" t="s">
        <v>268</v>
      </c>
    </row>
    <row r="571" spans="1:10" hidden="1" x14ac:dyDescent="0.2">
      <c r="A571" s="94" t="s">
        <v>265</v>
      </c>
      <c r="B571" s="95">
        <v>2025</v>
      </c>
      <c r="C571" s="95">
        <v>103</v>
      </c>
      <c r="D571" s="94" t="s">
        <v>349</v>
      </c>
      <c r="E571" s="95">
        <v>11</v>
      </c>
      <c r="F571" s="95">
        <v>24</v>
      </c>
      <c r="G571" s="94" t="s">
        <v>272</v>
      </c>
      <c r="H571" s="167">
        <v>1000</v>
      </c>
      <c r="I571" s="96">
        <v>0</v>
      </c>
      <c r="J571" s="94" t="s">
        <v>268</v>
      </c>
    </row>
    <row r="572" spans="1:10" hidden="1" x14ac:dyDescent="0.2">
      <c r="A572" s="94" t="s">
        <v>265</v>
      </c>
      <c r="B572" s="95">
        <v>2025</v>
      </c>
      <c r="C572" s="95">
        <v>103</v>
      </c>
      <c r="D572" s="94" t="s">
        <v>349</v>
      </c>
      <c r="E572" s="95">
        <v>11</v>
      </c>
      <c r="F572" s="95">
        <v>25</v>
      </c>
      <c r="G572" s="94" t="s">
        <v>273</v>
      </c>
      <c r="H572" s="167">
        <v>154</v>
      </c>
      <c r="I572" s="96">
        <v>0</v>
      </c>
      <c r="J572" s="94" t="s">
        <v>268</v>
      </c>
    </row>
    <row r="573" spans="1:10" hidden="1" x14ac:dyDescent="0.2">
      <c r="A573" s="94" t="s">
        <v>265</v>
      </c>
      <c r="B573" s="95">
        <v>2025</v>
      </c>
      <c r="C573" s="95">
        <v>103</v>
      </c>
      <c r="D573" s="94" t="s">
        <v>349</v>
      </c>
      <c r="E573" s="95">
        <v>11</v>
      </c>
      <c r="F573" s="95">
        <v>51</v>
      </c>
      <c r="G573" s="94" t="s">
        <v>274</v>
      </c>
      <c r="H573" s="167">
        <v>154</v>
      </c>
      <c r="I573" s="96">
        <v>0</v>
      </c>
      <c r="J573" s="94" t="s">
        <v>268</v>
      </c>
    </row>
    <row r="574" spans="1:10" hidden="1" x14ac:dyDescent="0.2">
      <c r="A574" s="94" t="s">
        <v>265</v>
      </c>
      <c r="B574" s="95">
        <v>2025</v>
      </c>
      <c r="C574" s="95">
        <v>103</v>
      </c>
      <c r="D574" s="94" t="s">
        <v>349</v>
      </c>
      <c r="E574" s="95">
        <v>11</v>
      </c>
      <c r="F574" s="95">
        <v>93</v>
      </c>
      <c r="G574" s="94" t="s">
        <v>275</v>
      </c>
      <c r="H574" s="167">
        <v>2281.35</v>
      </c>
      <c r="I574" s="96">
        <v>0</v>
      </c>
      <c r="J574" s="94" t="s">
        <v>268</v>
      </c>
    </row>
    <row r="575" spans="1:10" hidden="1" x14ac:dyDescent="0.2">
      <c r="A575" s="94" t="s">
        <v>265</v>
      </c>
      <c r="B575" s="95">
        <v>2025</v>
      </c>
      <c r="C575" s="95">
        <v>104</v>
      </c>
      <c r="D575" s="94" t="s">
        <v>350</v>
      </c>
      <c r="E575" s="95">
        <v>11</v>
      </c>
      <c r="F575" s="95">
        <v>1</v>
      </c>
      <c r="G575" s="94" t="s">
        <v>267</v>
      </c>
      <c r="H575" s="167">
        <v>27674.639999999999</v>
      </c>
      <c r="I575" s="96">
        <v>0</v>
      </c>
      <c r="J575" s="94" t="s">
        <v>268</v>
      </c>
    </row>
    <row r="576" spans="1:10" hidden="1" x14ac:dyDescent="0.2">
      <c r="A576" s="94" t="s">
        <v>265</v>
      </c>
      <c r="B576" s="95">
        <v>2025</v>
      </c>
      <c r="C576" s="95">
        <v>104</v>
      </c>
      <c r="D576" s="94" t="s">
        <v>350</v>
      </c>
      <c r="E576" s="95">
        <v>11</v>
      </c>
      <c r="F576" s="95">
        <v>3</v>
      </c>
      <c r="G576" s="94" t="s">
        <v>269</v>
      </c>
      <c r="H576" s="167">
        <v>283.02</v>
      </c>
      <c r="I576" s="96">
        <v>0</v>
      </c>
      <c r="J576" s="94" t="s">
        <v>268</v>
      </c>
    </row>
    <row r="577" spans="1:10" hidden="1" x14ac:dyDescent="0.2">
      <c r="A577" s="94" t="s">
        <v>265</v>
      </c>
      <c r="B577" s="95">
        <v>2025</v>
      </c>
      <c r="C577" s="95">
        <v>104</v>
      </c>
      <c r="D577" s="94" t="s">
        <v>350</v>
      </c>
      <c r="E577" s="95">
        <v>11</v>
      </c>
      <c r="F577" s="95">
        <v>4</v>
      </c>
      <c r="G577" s="94" t="s">
        <v>270</v>
      </c>
      <c r="H577" s="167">
        <v>315</v>
      </c>
      <c r="I577" s="96">
        <v>0</v>
      </c>
      <c r="J577" s="94" t="s">
        <v>268</v>
      </c>
    </row>
    <row r="578" spans="1:10" hidden="1" x14ac:dyDescent="0.2">
      <c r="A578" s="94" t="s">
        <v>265</v>
      </c>
      <c r="B578" s="95">
        <v>2025</v>
      </c>
      <c r="C578" s="95">
        <v>104</v>
      </c>
      <c r="D578" s="94" t="s">
        <v>350</v>
      </c>
      <c r="E578" s="95">
        <v>11</v>
      </c>
      <c r="F578" s="95">
        <v>6</v>
      </c>
      <c r="G578" s="94" t="s">
        <v>271</v>
      </c>
      <c r="H578" s="167">
        <v>11860.56</v>
      </c>
      <c r="I578" s="96">
        <v>0</v>
      </c>
      <c r="J578" s="94" t="s">
        <v>268</v>
      </c>
    </row>
    <row r="579" spans="1:10" hidden="1" x14ac:dyDescent="0.2">
      <c r="A579" s="94" t="s">
        <v>265</v>
      </c>
      <c r="B579" s="95">
        <v>2025</v>
      </c>
      <c r="C579" s="95">
        <v>104</v>
      </c>
      <c r="D579" s="94" t="s">
        <v>350</v>
      </c>
      <c r="E579" s="95">
        <v>11</v>
      </c>
      <c r="F579" s="95">
        <v>24</v>
      </c>
      <c r="G579" s="94" t="s">
        <v>272</v>
      </c>
      <c r="H579" s="167">
        <v>998.22</v>
      </c>
      <c r="I579" s="96">
        <v>0</v>
      </c>
      <c r="J579" s="94" t="s">
        <v>268</v>
      </c>
    </row>
    <row r="580" spans="1:10" hidden="1" x14ac:dyDescent="0.2">
      <c r="A580" s="94" t="s">
        <v>265</v>
      </c>
      <c r="B580" s="95">
        <v>2025</v>
      </c>
      <c r="C580" s="95">
        <v>104</v>
      </c>
      <c r="D580" s="94" t="s">
        <v>350</v>
      </c>
      <c r="E580" s="95">
        <v>11</v>
      </c>
      <c r="F580" s="95">
        <v>25</v>
      </c>
      <c r="G580" s="94" t="s">
        <v>273</v>
      </c>
      <c r="H580" s="167">
        <v>223.39</v>
      </c>
      <c r="I580" s="96">
        <v>0</v>
      </c>
      <c r="J580" s="94" t="s">
        <v>268</v>
      </c>
    </row>
    <row r="581" spans="1:10" hidden="1" x14ac:dyDescent="0.2">
      <c r="A581" s="94" t="s">
        <v>265</v>
      </c>
      <c r="B581" s="95">
        <v>2025</v>
      </c>
      <c r="C581" s="95">
        <v>104</v>
      </c>
      <c r="D581" s="94" t="s">
        <v>350</v>
      </c>
      <c r="E581" s="95">
        <v>11</v>
      </c>
      <c r="F581" s="95">
        <v>51</v>
      </c>
      <c r="G581" s="94" t="s">
        <v>274</v>
      </c>
      <c r="H581" s="167">
        <v>154</v>
      </c>
      <c r="I581" s="96">
        <v>0</v>
      </c>
      <c r="J581" s="94" t="s">
        <v>268</v>
      </c>
    </row>
    <row r="582" spans="1:10" x14ac:dyDescent="0.2">
      <c r="A582" s="94" t="s">
        <v>265</v>
      </c>
      <c r="B582" s="95">
        <v>2025</v>
      </c>
      <c r="C582" s="95">
        <v>104</v>
      </c>
      <c r="D582" s="94" t="s">
        <v>350</v>
      </c>
      <c r="E582" s="95">
        <v>11</v>
      </c>
      <c r="F582" s="95">
        <v>61</v>
      </c>
      <c r="G582" s="94" t="s">
        <v>319</v>
      </c>
      <c r="H582" s="167">
        <v>21823.03</v>
      </c>
      <c r="I582" s="96">
        <v>0</v>
      </c>
      <c r="J582" s="94" t="s">
        <v>268</v>
      </c>
    </row>
    <row r="583" spans="1:10" hidden="1" x14ac:dyDescent="0.2">
      <c r="A583" s="94" t="s">
        <v>265</v>
      </c>
      <c r="B583" s="95">
        <v>2025</v>
      </c>
      <c r="C583" s="95">
        <v>104</v>
      </c>
      <c r="D583" s="94" t="s">
        <v>350</v>
      </c>
      <c r="E583" s="95">
        <v>11</v>
      </c>
      <c r="F583" s="95">
        <v>93</v>
      </c>
      <c r="G583" s="94" t="s">
        <v>275</v>
      </c>
      <c r="H583" s="167">
        <v>73.040000000000006</v>
      </c>
      <c r="I583" s="96">
        <v>0</v>
      </c>
      <c r="J583" s="94" t="s">
        <v>268</v>
      </c>
    </row>
    <row r="584" spans="1:10" hidden="1" x14ac:dyDescent="0.2">
      <c r="A584" s="94" t="s">
        <v>265</v>
      </c>
      <c r="B584" s="95">
        <v>2025</v>
      </c>
      <c r="C584" s="95">
        <v>105</v>
      </c>
      <c r="D584" s="94" t="s">
        <v>351</v>
      </c>
      <c r="E584" s="95">
        <v>11</v>
      </c>
      <c r="F584" s="95">
        <v>1</v>
      </c>
      <c r="G584" s="94" t="s">
        <v>267</v>
      </c>
      <c r="H584" s="167">
        <v>30940</v>
      </c>
      <c r="I584" s="96">
        <v>0</v>
      </c>
      <c r="J584" s="94" t="s">
        <v>268</v>
      </c>
    </row>
    <row r="585" spans="1:10" hidden="1" x14ac:dyDescent="0.2">
      <c r="A585" s="94" t="s">
        <v>265</v>
      </c>
      <c r="B585" s="95">
        <v>2025</v>
      </c>
      <c r="C585" s="95">
        <v>105</v>
      </c>
      <c r="D585" s="94" t="s">
        <v>351</v>
      </c>
      <c r="E585" s="95">
        <v>11</v>
      </c>
      <c r="F585" s="95">
        <v>3</v>
      </c>
      <c r="G585" s="94" t="s">
        <v>269</v>
      </c>
      <c r="H585" s="167">
        <v>283.02</v>
      </c>
      <c r="I585" s="96">
        <v>0</v>
      </c>
      <c r="J585" s="94" t="s">
        <v>268</v>
      </c>
    </row>
    <row r="586" spans="1:10" hidden="1" x14ac:dyDescent="0.2">
      <c r="A586" s="94" t="s">
        <v>265</v>
      </c>
      <c r="B586" s="95">
        <v>2025</v>
      </c>
      <c r="C586" s="95">
        <v>105</v>
      </c>
      <c r="D586" s="94" t="s">
        <v>351</v>
      </c>
      <c r="E586" s="95">
        <v>11</v>
      </c>
      <c r="F586" s="95">
        <v>4</v>
      </c>
      <c r="G586" s="94" t="s">
        <v>270</v>
      </c>
      <c r="H586" s="167">
        <v>315</v>
      </c>
      <c r="I586" s="96">
        <v>0</v>
      </c>
      <c r="J586" s="94" t="s">
        <v>268</v>
      </c>
    </row>
    <row r="587" spans="1:10" hidden="1" x14ac:dyDescent="0.2">
      <c r="A587" s="94" t="s">
        <v>265</v>
      </c>
      <c r="B587" s="95">
        <v>2025</v>
      </c>
      <c r="C587" s="95">
        <v>105</v>
      </c>
      <c r="D587" s="94" t="s">
        <v>351</v>
      </c>
      <c r="E587" s="95">
        <v>11</v>
      </c>
      <c r="F587" s="95">
        <v>6</v>
      </c>
      <c r="G587" s="94" t="s">
        <v>271</v>
      </c>
      <c r="H587" s="167">
        <v>13260</v>
      </c>
      <c r="I587" s="96">
        <v>0</v>
      </c>
      <c r="J587" s="94" t="s">
        <v>268</v>
      </c>
    </row>
    <row r="588" spans="1:10" hidden="1" x14ac:dyDescent="0.2">
      <c r="A588" s="94" t="s">
        <v>265</v>
      </c>
      <c r="B588" s="95">
        <v>2025</v>
      </c>
      <c r="C588" s="95">
        <v>105</v>
      </c>
      <c r="D588" s="94" t="s">
        <v>351</v>
      </c>
      <c r="E588" s="95">
        <v>11</v>
      </c>
      <c r="F588" s="95">
        <v>24</v>
      </c>
      <c r="G588" s="94" t="s">
        <v>272</v>
      </c>
      <c r="H588" s="167">
        <v>999.05</v>
      </c>
      <c r="I588" s="96">
        <v>0</v>
      </c>
      <c r="J588" s="94" t="s">
        <v>268</v>
      </c>
    </row>
    <row r="589" spans="1:10" hidden="1" x14ac:dyDescent="0.2">
      <c r="A589" s="94" t="s">
        <v>265</v>
      </c>
      <c r="B589" s="95">
        <v>2025</v>
      </c>
      <c r="C589" s="95">
        <v>105</v>
      </c>
      <c r="D589" s="94" t="s">
        <v>351</v>
      </c>
      <c r="E589" s="95">
        <v>11</v>
      </c>
      <c r="F589" s="95">
        <v>25</v>
      </c>
      <c r="G589" s="94" t="s">
        <v>273</v>
      </c>
      <c r="H589" s="167">
        <v>223.37</v>
      </c>
      <c r="I589" s="96">
        <v>0</v>
      </c>
      <c r="J589" s="94" t="s">
        <v>268</v>
      </c>
    </row>
    <row r="590" spans="1:10" hidden="1" x14ac:dyDescent="0.2">
      <c r="A590" s="94" t="s">
        <v>265</v>
      </c>
      <c r="B590" s="95">
        <v>2025</v>
      </c>
      <c r="C590" s="95">
        <v>105</v>
      </c>
      <c r="D590" s="94" t="s">
        <v>351</v>
      </c>
      <c r="E590" s="95">
        <v>11</v>
      </c>
      <c r="F590" s="95">
        <v>51</v>
      </c>
      <c r="G590" s="94" t="s">
        <v>274</v>
      </c>
      <c r="H590" s="167">
        <v>154</v>
      </c>
      <c r="I590" s="96">
        <v>0</v>
      </c>
      <c r="J590" s="94" t="s">
        <v>268</v>
      </c>
    </row>
    <row r="591" spans="1:10" hidden="1" x14ac:dyDescent="0.2">
      <c r="A591" s="94" t="s">
        <v>265</v>
      </c>
      <c r="B591" s="95">
        <v>2025</v>
      </c>
      <c r="C591" s="95">
        <v>105</v>
      </c>
      <c r="D591" s="94" t="s">
        <v>351</v>
      </c>
      <c r="E591" s="95">
        <v>11</v>
      </c>
      <c r="F591" s="95">
        <v>93</v>
      </c>
      <c r="G591" s="94" t="s">
        <v>275</v>
      </c>
      <c r="H591" s="167">
        <v>383.11</v>
      </c>
      <c r="I591" s="96">
        <v>0</v>
      </c>
      <c r="J591" s="94" t="s">
        <v>268</v>
      </c>
    </row>
    <row r="592" spans="1:10" hidden="1" x14ac:dyDescent="0.2">
      <c r="A592" s="94" t="s">
        <v>265</v>
      </c>
      <c r="B592" s="95">
        <v>2025</v>
      </c>
      <c r="C592" s="95">
        <v>106</v>
      </c>
      <c r="D592" s="94" t="s">
        <v>352</v>
      </c>
      <c r="E592" s="95">
        <v>11</v>
      </c>
      <c r="F592" s="95">
        <v>1</v>
      </c>
      <c r="G592" s="94" t="s">
        <v>267</v>
      </c>
      <c r="H592" s="167">
        <v>29400</v>
      </c>
      <c r="I592" s="96">
        <v>0</v>
      </c>
      <c r="J592" s="94" t="s">
        <v>268</v>
      </c>
    </row>
    <row r="593" spans="1:10" hidden="1" x14ac:dyDescent="0.2">
      <c r="A593" s="94" t="s">
        <v>265</v>
      </c>
      <c r="B593" s="95">
        <v>2025</v>
      </c>
      <c r="C593" s="95">
        <v>106</v>
      </c>
      <c r="D593" s="94" t="s">
        <v>352</v>
      </c>
      <c r="E593" s="95">
        <v>11</v>
      </c>
      <c r="F593" s="95">
        <v>3</v>
      </c>
      <c r="G593" s="94" t="s">
        <v>269</v>
      </c>
      <c r="H593" s="167">
        <v>281.13</v>
      </c>
      <c r="I593" s="96">
        <v>0</v>
      </c>
      <c r="J593" s="94" t="s">
        <v>268</v>
      </c>
    </row>
    <row r="594" spans="1:10" hidden="1" x14ac:dyDescent="0.2">
      <c r="A594" s="94" t="s">
        <v>265</v>
      </c>
      <c r="B594" s="95">
        <v>2025</v>
      </c>
      <c r="C594" s="95">
        <v>106</v>
      </c>
      <c r="D594" s="94" t="s">
        <v>352</v>
      </c>
      <c r="E594" s="95">
        <v>11</v>
      </c>
      <c r="F594" s="95">
        <v>4</v>
      </c>
      <c r="G594" s="94" t="s">
        <v>270</v>
      </c>
      <c r="H594" s="167">
        <v>315</v>
      </c>
      <c r="I594" s="96">
        <v>0</v>
      </c>
      <c r="J594" s="94" t="s">
        <v>268</v>
      </c>
    </row>
    <row r="595" spans="1:10" hidden="1" x14ac:dyDescent="0.2">
      <c r="A595" s="94" t="s">
        <v>265</v>
      </c>
      <c r="B595" s="95">
        <v>2025</v>
      </c>
      <c r="C595" s="95">
        <v>106</v>
      </c>
      <c r="D595" s="94" t="s">
        <v>352</v>
      </c>
      <c r="E595" s="95">
        <v>11</v>
      </c>
      <c r="F595" s="95">
        <v>6</v>
      </c>
      <c r="G595" s="94" t="s">
        <v>271</v>
      </c>
      <c r="H595" s="167">
        <v>12600</v>
      </c>
      <c r="I595" s="96">
        <v>0</v>
      </c>
      <c r="J595" s="94" t="s">
        <v>268</v>
      </c>
    </row>
    <row r="596" spans="1:10" hidden="1" x14ac:dyDescent="0.2">
      <c r="A596" s="94" t="s">
        <v>265</v>
      </c>
      <c r="B596" s="95">
        <v>2025</v>
      </c>
      <c r="C596" s="95">
        <v>106</v>
      </c>
      <c r="D596" s="94" t="s">
        <v>352</v>
      </c>
      <c r="E596" s="95">
        <v>11</v>
      </c>
      <c r="F596" s="95">
        <v>24</v>
      </c>
      <c r="G596" s="94" t="s">
        <v>272</v>
      </c>
      <c r="H596" s="167">
        <v>1000</v>
      </c>
      <c r="I596" s="96">
        <v>0</v>
      </c>
      <c r="J596" s="94" t="s">
        <v>268</v>
      </c>
    </row>
    <row r="597" spans="1:10" hidden="1" x14ac:dyDescent="0.2">
      <c r="A597" s="94" t="s">
        <v>265</v>
      </c>
      <c r="B597" s="95">
        <v>2025</v>
      </c>
      <c r="C597" s="95">
        <v>106</v>
      </c>
      <c r="D597" s="94" t="s">
        <v>352</v>
      </c>
      <c r="E597" s="95">
        <v>11</v>
      </c>
      <c r="F597" s="95">
        <v>25</v>
      </c>
      <c r="G597" s="94" t="s">
        <v>273</v>
      </c>
      <c r="H597" s="167">
        <v>223.32</v>
      </c>
      <c r="I597" s="96">
        <v>0</v>
      </c>
      <c r="J597" s="94" t="s">
        <v>268</v>
      </c>
    </row>
    <row r="598" spans="1:10" hidden="1" x14ac:dyDescent="0.2">
      <c r="A598" s="94" t="s">
        <v>265</v>
      </c>
      <c r="B598" s="95">
        <v>2025</v>
      </c>
      <c r="C598" s="95">
        <v>106</v>
      </c>
      <c r="D598" s="94" t="s">
        <v>352</v>
      </c>
      <c r="E598" s="95">
        <v>11</v>
      </c>
      <c r="F598" s="95">
        <v>51</v>
      </c>
      <c r="G598" s="94" t="s">
        <v>274</v>
      </c>
      <c r="H598" s="167">
        <v>154</v>
      </c>
      <c r="I598" s="96">
        <v>0</v>
      </c>
      <c r="J598" s="94" t="s">
        <v>268</v>
      </c>
    </row>
    <row r="599" spans="1:10" hidden="1" x14ac:dyDescent="0.2">
      <c r="A599" s="94" t="s">
        <v>265</v>
      </c>
      <c r="B599" s="95">
        <v>2025</v>
      </c>
      <c r="C599" s="95">
        <v>106</v>
      </c>
      <c r="D599" s="94" t="s">
        <v>352</v>
      </c>
      <c r="E599" s="95">
        <v>11</v>
      </c>
      <c r="F599" s="95">
        <v>93</v>
      </c>
      <c r="G599" s="94" t="s">
        <v>275</v>
      </c>
      <c r="H599" s="167">
        <v>233.25</v>
      </c>
      <c r="I599" s="96">
        <v>0</v>
      </c>
      <c r="J599" s="94" t="s">
        <v>268</v>
      </c>
    </row>
    <row r="600" spans="1:10" hidden="1" x14ac:dyDescent="0.2">
      <c r="A600" s="94" t="s">
        <v>265</v>
      </c>
      <c r="B600" s="95">
        <v>2025</v>
      </c>
      <c r="C600" s="95">
        <v>107</v>
      </c>
      <c r="D600" s="94" t="s">
        <v>353</v>
      </c>
      <c r="E600" s="95">
        <v>11</v>
      </c>
      <c r="F600" s="95">
        <v>1</v>
      </c>
      <c r="G600" s="94" t="s">
        <v>267</v>
      </c>
      <c r="H600" s="167">
        <v>22050</v>
      </c>
      <c r="I600" s="96">
        <v>0</v>
      </c>
      <c r="J600" s="94" t="s">
        <v>268</v>
      </c>
    </row>
    <row r="601" spans="1:10" hidden="1" x14ac:dyDescent="0.2">
      <c r="A601" s="94" t="s">
        <v>265</v>
      </c>
      <c r="B601" s="95">
        <v>2025</v>
      </c>
      <c r="C601" s="95">
        <v>107</v>
      </c>
      <c r="D601" s="94" t="s">
        <v>353</v>
      </c>
      <c r="E601" s="95">
        <v>11</v>
      </c>
      <c r="F601" s="95">
        <v>3</v>
      </c>
      <c r="G601" s="94" t="s">
        <v>269</v>
      </c>
      <c r="H601" s="167">
        <v>216.93</v>
      </c>
      <c r="I601" s="96">
        <v>0</v>
      </c>
      <c r="J601" s="94" t="s">
        <v>268</v>
      </c>
    </row>
    <row r="602" spans="1:10" hidden="1" x14ac:dyDescent="0.2">
      <c r="A602" s="94" t="s">
        <v>265</v>
      </c>
      <c r="B602" s="95">
        <v>2025</v>
      </c>
      <c r="C602" s="95">
        <v>107</v>
      </c>
      <c r="D602" s="94" t="s">
        <v>353</v>
      </c>
      <c r="E602" s="95">
        <v>11</v>
      </c>
      <c r="F602" s="95">
        <v>4</v>
      </c>
      <c r="G602" s="94" t="s">
        <v>270</v>
      </c>
      <c r="H602" s="167">
        <v>315</v>
      </c>
      <c r="I602" s="96">
        <v>0</v>
      </c>
      <c r="J602" s="94" t="s">
        <v>268</v>
      </c>
    </row>
    <row r="603" spans="1:10" hidden="1" x14ac:dyDescent="0.2">
      <c r="A603" s="94" t="s">
        <v>265</v>
      </c>
      <c r="B603" s="95">
        <v>2025</v>
      </c>
      <c r="C603" s="95">
        <v>107</v>
      </c>
      <c r="D603" s="94" t="s">
        <v>353</v>
      </c>
      <c r="E603" s="95">
        <v>11</v>
      </c>
      <c r="F603" s="95">
        <v>6</v>
      </c>
      <c r="G603" s="94" t="s">
        <v>271</v>
      </c>
      <c r="H603" s="167">
        <v>9450</v>
      </c>
      <c r="I603" s="96">
        <v>0</v>
      </c>
      <c r="J603" s="94" t="s">
        <v>268</v>
      </c>
    </row>
    <row r="604" spans="1:10" hidden="1" x14ac:dyDescent="0.2">
      <c r="A604" s="94" t="s">
        <v>265</v>
      </c>
      <c r="B604" s="95">
        <v>2025</v>
      </c>
      <c r="C604" s="95">
        <v>107</v>
      </c>
      <c r="D604" s="94" t="s">
        <v>353</v>
      </c>
      <c r="E604" s="95">
        <v>11</v>
      </c>
      <c r="F604" s="95">
        <v>22</v>
      </c>
      <c r="G604" s="94" t="s">
        <v>296</v>
      </c>
      <c r="H604" s="167">
        <v>150</v>
      </c>
      <c r="I604" s="96">
        <v>0</v>
      </c>
      <c r="J604" s="94" t="s">
        <v>268</v>
      </c>
    </row>
    <row r="605" spans="1:10" hidden="1" x14ac:dyDescent="0.2">
      <c r="A605" s="94" t="s">
        <v>265</v>
      </c>
      <c r="B605" s="95">
        <v>2025</v>
      </c>
      <c r="C605" s="95">
        <v>107</v>
      </c>
      <c r="D605" s="94" t="s">
        <v>353</v>
      </c>
      <c r="E605" s="95">
        <v>11</v>
      </c>
      <c r="F605" s="95">
        <v>24</v>
      </c>
      <c r="G605" s="94" t="s">
        <v>272</v>
      </c>
      <c r="H605" s="167">
        <v>999.6</v>
      </c>
      <c r="I605" s="96">
        <v>0</v>
      </c>
      <c r="J605" s="94" t="s">
        <v>268</v>
      </c>
    </row>
    <row r="606" spans="1:10" hidden="1" x14ac:dyDescent="0.2">
      <c r="A606" s="94" t="s">
        <v>265</v>
      </c>
      <c r="B606" s="95">
        <v>2025</v>
      </c>
      <c r="C606" s="95">
        <v>107</v>
      </c>
      <c r="D606" s="94" t="s">
        <v>353</v>
      </c>
      <c r="E606" s="95">
        <v>11</v>
      </c>
      <c r="F606" s="95">
        <v>25</v>
      </c>
      <c r="G606" s="94" t="s">
        <v>273</v>
      </c>
      <c r="H606" s="167">
        <v>271.37</v>
      </c>
      <c r="I606" s="96">
        <v>0</v>
      </c>
      <c r="J606" s="94" t="s">
        <v>268</v>
      </c>
    </row>
    <row r="607" spans="1:10" hidden="1" x14ac:dyDescent="0.2">
      <c r="A607" s="94" t="s">
        <v>265</v>
      </c>
      <c r="B607" s="95">
        <v>2025</v>
      </c>
      <c r="C607" s="95">
        <v>107</v>
      </c>
      <c r="D607" s="94" t="s">
        <v>353</v>
      </c>
      <c r="E607" s="95">
        <v>11</v>
      </c>
      <c r="F607" s="95">
        <v>51</v>
      </c>
      <c r="G607" s="94" t="s">
        <v>274</v>
      </c>
      <c r="H607" s="167">
        <v>154</v>
      </c>
      <c r="I607" s="96">
        <v>0</v>
      </c>
      <c r="J607" s="94" t="s">
        <v>268</v>
      </c>
    </row>
    <row r="608" spans="1:10" hidden="1" x14ac:dyDescent="0.2">
      <c r="A608" s="94" t="s">
        <v>265</v>
      </c>
      <c r="B608" s="95">
        <v>2025</v>
      </c>
      <c r="C608" s="95">
        <v>108</v>
      </c>
      <c r="D608" s="94" t="s">
        <v>354</v>
      </c>
      <c r="E608" s="95">
        <v>11</v>
      </c>
      <c r="F608" s="95">
        <v>1</v>
      </c>
      <c r="G608" s="94" t="s">
        <v>267</v>
      </c>
      <c r="H608" s="167">
        <v>34944</v>
      </c>
      <c r="I608" s="96">
        <v>0</v>
      </c>
      <c r="J608" s="94" t="s">
        <v>268</v>
      </c>
    </row>
    <row r="609" spans="1:10" hidden="1" x14ac:dyDescent="0.2">
      <c r="A609" s="94" t="s">
        <v>265</v>
      </c>
      <c r="B609" s="95">
        <v>2025</v>
      </c>
      <c r="C609" s="95">
        <v>108</v>
      </c>
      <c r="D609" s="94" t="s">
        <v>354</v>
      </c>
      <c r="E609" s="95">
        <v>11</v>
      </c>
      <c r="F609" s="95">
        <v>3</v>
      </c>
      <c r="G609" s="94" t="s">
        <v>269</v>
      </c>
      <c r="H609" s="167">
        <v>230</v>
      </c>
      <c r="I609" s="96">
        <v>0</v>
      </c>
      <c r="J609" s="94" t="s">
        <v>268</v>
      </c>
    </row>
    <row r="610" spans="1:10" hidden="1" x14ac:dyDescent="0.2">
      <c r="A610" s="94" t="s">
        <v>265</v>
      </c>
      <c r="B610" s="95">
        <v>2025</v>
      </c>
      <c r="C610" s="95">
        <v>108</v>
      </c>
      <c r="D610" s="94" t="s">
        <v>354</v>
      </c>
      <c r="E610" s="95">
        <v>11</v>
      </c>
      <c r="F610" s="95">
        <v>4</v>
      </c>
      <c r="G610" s="94" t="s">
        <v>270</v>
      </c>
      <c r="H610" s="167">
        <v>315</v>
      </c>
      <c r="I610" s="96">
        <v>0</v>
      </c>
      <c r="J610" s="94" t="s">
        <v>268</v>
      </c>
    </row>
    <row r="611" spans="1:10" hidden="1" x14ac:dyDescent="0.2">
      <c r="A611" s="94" t="s">
        <v>265</v>
      </c>
      <c r="B611" s="95">
        <v>2025</v>
      </c>
      <c r="C611" s="95">
        <v>108</v>
      </c>
      <c r="D611" s="94" t="s">
        <v>354</v>
      </c>
      <c r="E611" s="95">
        <v>11</v>
      </c>
      <c r="F611" s="95">
        <v>6</v>
      </c>
      <c r="G611" s="94" t="s">
        <v>271</v>
      </c>
      <c r="H611" s="167">
        <v>14976</v>
      </c>
      <c r="I611" s="96">
        <v>0</v>
      </c>
      <c r="J611" s="94" t="s">
        <v>268</v>
      </c>
    </row>
    <row r="612" spans="1:10" hidden="1" x14ac:dyDescent="0.2">
      <c r="A612" s="94" t="s">
        <v>265</v>
      </c>
      <c r="B612" s="95">
        <v>2025</v>
      </c>
      <c r="C612" s="95">
        <v>108</v>
      </c>
      <c r="D612" s="94" t="s">
        <v>354</v>
      </c>
      <c r="E612" s="95">
        <v>11</v>
      </c>
      <c r="F612" s="95">
        <v>24</v>
      </c>
      <c r="G612" s="94" t="s">
        <v>272</v>
      </c>
      <c r="H612" s="167">
        <v>999.99</v>
      </c>
      <c r="I612" s="96">
        <v>0</v>
      </c>
      <c r="J612" s="94" t="s">
        <v>268</v>
      </c>
    </row>
    <row r="613" spans="1:10" hidden="1" x14ac:dyDescent="0.2">
      <c r="A613" s="94" t="s">
        <v>265</v>
      </c>
      <c r="B613" s="95">
        <v>2025</v>
      </c>
      <c r="C613" s="95">
        <v>108</v>
      </c>
      <c r="D613" s="94" t="s">
        <v>354</v>
      </c>
      <c r="E613" s="95">
        <v>11</v>
      </c>
      <c r="F613" s="95">
        <v>25</v>
      </c>
      <c r="G613" s="94" t="s">
        <v>273</v>
      </c>
      <c r="H613" s="167">
        <v>154</v>
      </c>
      <c r="I613" s="96">
        <v>0</v>
      </c>
      <c r="J613" s="94" t="s">
        <v>268</v>
      </c>
    </row>
    <row r="614" spans="1:10" hidden="1" x14ac:dyDescent="0.2">
      <c r="A614" s="94" t="s">
        <v>265</v>
      </c>
      <c r="B614" s="95">
        <v>2025</v>
      </c>
      <c r="C614" s="95">
        <v>108</v>
      </c>
      <c r="D614" s="94" t="s">
        <v>354</v>
      </c>
      <c r="E614" s="95">
        <v>11</v>
      </c>
      <c r="F614" s="95">
        <v>51</v>
      </c>
      <c r="G614" s="94" t="s">
        <v>274</v>
      </c>
      <c r="H614" s="167">
        <v>154</v>
      </c>
      <c r="I614" s="96">
        <v>0</v>
      </c>
      <c r="J614" s="94" t="s">
        <v>268</v>
      </c>
    </row>
    <row r="615" spans="1:10" hidden="1" x14ac:dyDescent="0.2">
      <c r="A615" s="94" t="s">
        <v>265</v>
      </c>
      <c r="B615" s="95">
        <v>2025</v>
      </c>
      <c r="C615" s="95">
        <v>108</v>
      </c>
      <c r="D615" s="94" t="s">
        <v>354</v>
      </c>
      <c r="E615" s="95">
        <v>11</v>
      </c>
      <c r="F615" s="95">
        <v>93</v>
      </c>
      <c r="G615" s="94" t="s">
        <v>275</v>
      </c>
      <c r="H615" s="167">
        <v>1231.3900000000001</v>
      </c>
      <c r="I615" s="96">
        <v>0</v>
      </c>
      <c r="J615" s="94" t="s">
        <v>268</v>
      </c>
    </row>
    <row r="616" spans="1:10" hidden="1" x14ac:dyDescent="0.2">
      <c r="A616" s="94" t="s">
        <v>265</v>
      </c>
      <c r="B616" s="95">
        <v>2025</v>
      </c>
      <c r="C616" s="95">
        <v>109</v>
      </c>
      <c r="D616" s="94" t="s">
        <v>355</v>
      </c>
      <c r="E616" s="95">
        <v>11</v>
      </c>
      <c r="F616" s="95">
        <v>1</v>
      </c>
      <c r="G616" s="94" t="s">
        <v>267</v>
      </c>
      <c r="H616" s="167">
        <v>31164</v>
      </c>
      <c r="I616" s="96">
        <v>0</v>
      </c>
      <c r="J616" s="94" t="s">
        <v>268</v>
      </c>
    </row>
    <row r="617" spans="1:10" hidden="1" x14ac:dyDescent="0.2">
      <c r="A617" s="94" t="s">
        <v>265</v>
      </c>
      <c r="B617" s="95">
        <v>2025</v>
      </c>
      <c r="C617" s="95">
        <v>109</v>
      </c>
      <c r="D617" s="94" t="s">
        <v>355</v>
      </c>
      <c r="E617" s="95">
        <v>11</v>
      </c>
      <c r="F617" s="95">
        <v>3</v>
      </c>
      <c r="G617" s="94" t="s">
        <v>269</v>
      </c>
      <c r="H617" s="167">
        <v>281.12</v>
      </c>
      <c r="I617" s="96">
        <v>0</v>
      </c>
      <c r="J617" s="94" t="s">
        <v>268</v>
      </c>
    </row>
    <row r="618" spans="1:10" hidden="1" x14ac:dyDescent="0.2">
      <c r="A618" s="94" t="s">
        <v>265</v>
      </c>
      <c r="B618" s="95">
        <v>2025</v>
      </c>
      <c r="C618" s="95">
        <v>109</v>
      </c>
      <c r="D618" s="94" t="s">
        <v>355</v>
      </c>
      <c r="E618" s="95">
        <v>11</v>
      </c>
      <c r="F618" s="95">
        <v>4</v>
      </c>
      <c r="G618" s="94" t="s">
        <v>270</v>
      </c>
      <c r="H618" s="167">
        <v>315</v>
      </c>
      <c r="I618" s="96">
        <v>0</v>
      </c>
      <c r="J618" s="94" t="s">
        <v>268</v>
      </c>
    </row>
    <row r="619" spans="1:10" hidden="1" x14ac:dyDescent="0.2">
      <c r="A619" s="94" t="s">
        <v>265</v>
      </c>
      <c r="B619" s="95">
        <v>2025</v>
      </c>
      <c r="C619" s="95">
        <v>109</v>
      </c>
      <c r="D619" s="94" t="s">
        <v>355</v>
      </c>
      <c r="E619" s="95">
        <v>11</v>
      </c>
      <c r="F619" s="95">
        <v>6</v>
      </c>
      <c r="G619" s="94" t="s">
        <v>271</v>
      </c>
      <c r="H619" s="167">
        <v>13356</v>
      </c>
      <c r="I619" s="96">
        <v>0</v>
      </c>
      <c r="J619" s="94" t="s">
        <v>268</v>
      </c>
    </row>
    <row r="620" spans="1:10" hidden="1" x14ac:dyDescent="0.2">
      <c r="A620" s="94" t="s">
        <v>265</v>
      </c>
      <c r="B620" s="95">
        <v>2025</v>
      </c>
      <c r="C620" s="95">
        <v>109</v>
      </c>
      <c r="D620" s="94" t="s">
        <v>355</v>
      </c>
      <c r="E620" s="95">
        <v>11</v>
      </c>
      <c r="F620" s="95">
        <v>24</v>
      </c>
      <c r="G620" s="94" t="s">
        <v>272</v>
      </c>
      <c r="H620" s="167">
        <v>1000</v>
      </c>
      <c r="I620" s="96">
        <v>0</v>
      </c>
      <c r="J620" s="94" t="s">
        <v>268</v>
      </c>
    </row>
    <row r="621" spans="1:10" hidden="1" x14ac:dyDescent="0.2">
      <c r="A621" s="94" t="s">
        <v>265</v>
      </c>
      <c r="B621" s="95">
        <v>2025</v>
      </c>
      <c r="C621" s="95">
        <v>109</v>
      </c>
      <c r="D621" s="94" t="s">
        <v>355</v>
      </c>
      <c r="E621" s="95">
        <v>11</v>
      </c>
      <c r="F621" s="95">
        <v>25</v>
      </c>
      <c r="G621" s="94" t="s">
        <v>273</v>
      </c>
      <c r="H621" s="167">
        <v>223.34</v>
      </c>
      <c r="I621" s="96">
        <v>0</v>
      </c>
      <c r="J621" s="94" t="s">
        <v>268</v>
      </c>
    </row>
    <row r="622" spans="1:10" hidden="1" x14ac:dyDescent="0.2">
      <c r="A622" s="94" t="s">
        <v>265</v>
      </c>
      <c r="B622" s="95">
        <v>2025</v>
      </c>
      <c r="C622" s="95">
        <v>109</v>
      </c>
      <c r="D622" s="94" t="s">
        <v>355</v>
      </c>
      <c r="E622" s="95">
        <v>11</v>
      </c>
      <c r="F622" s="95">
        <v>51</v>
      </c>
      <c r="G622" s="94" t="s">
        <v>274</v>
      </c>
      <c r="H622" s="167">
        <v>154</v>
      </c>
      <c r="I622" s="96">
        <v>0</v>
      </c>
      <c r="J622" s="94" t="s">
        <v>268</v>
      </c>
    </row>
    <row r="623" spans="1:10" hidden="1" x14ac:dyDescent="0.2">
      <c r="A623" s="94" t="s">
        <v>265</v>
      </c>
      <c r="B623" s="95">
        <v>2025</v>
      </c>
      <c r="C623" s="95">
        <v>109</v>
      </c>
      <c r="D623" s="94" t="s">
        <v>355</v>
      </c>
      <c r="E623" s="95">
        <v>11</v>
      </c>
      <c r="F623" s="95">
        <v>93</v>
      </c>
      <c r="G623" s="94" t="s">
        <v>275</v>
      </c>
      <c r="H623" s="167">
        <v>397.05</v>
      </c>
      <c r="I623" s="96">
        <v>0</v>
      </c>
      <c r="J623" s="94" t="s">
        <v>268</v>
      </c>
    </row>
    <row r="624" spans="1:10" hidden="1" x14ac:dyDescent="0.2">
      <c r="A624" s="94" t="s">
        <v>265</v>
      </c>
      <c r="B624" s="95">
        <v>2025</v>
      </c>
      <c r="C624" s="95">
        <v>111</v>
      </c>
      <c r="D624" s="94" t="s">
        <v>356</v>
      </c>
      <c r="E624" s="95">
        <v>11</v>
      </c>
      <c r="F624" s="95">
        <v>1</v>
      </c>
      <c r="G624" s="94" t="s">
        <v>267</v>
      </c>
      <c r="H624" s="167">
        <v>32808.53</v>
      </c>
      <c r="I624" s="96">
        <v>0</v>
      </c>
      <c r="J624" s="94" t="s">
        <v>357</v>
      </c>
    </row>
    <row r="625" spans="1:10" hidden="1" x14ac:dyDescent="0.2">
      <c r="A625" s="94" t="s">
        <v>265</v>
      </c>
      <c r="B625" s="95">
        <v>2025</v>
      </c>
      <c r="C625" s="95">
        <v>111</v>
      </c>
      <c r="D625" s="94" t="s">
        <v>356</v>
      </c>
      <c r="E625" s="95">
        <v>11</v>
      </c>
      <c r="F625" s="95">
        <v>3</v>
      </c>
      <c r="G625" s="94" t="s">
        <v>269</v>
      </c>
      <c r="H625" s="167">
        <v>281.14</v>
      </c>
      <c r="I625" s="96">
        <v>0</v>
      </c>
      <c r="J625" s="94" t="s">
        <v>357</v>
      </c>
    </row>
    <row r="626" spans="1:10" hidden="1" x14ac:dyDescent="0.2">
      <c r="A626" s="94" t="s">
        <v>265</v>
      </c>
      <c r="B626" s="95">
        <v>2025</v>
      </c>
      <c r="C626" s="95">
        <v>111</v>
      </c>
      <c r="D626" s="94" t="s">
        <v>356</v>
      </c>
      <c r="E626" s="95">
        <v>11</v>
      </c>
      <c r="F626" s="95">
        <v>4</v>
      </c>
      <c r="G626" s="94" t="s">
        <v>270</v>
      </c>
      <c r="H626" s="167">
        <v>315</v>
      </c>
      <c r="I626" s="96">
        <v>0</v>
      </c>
      <c r="J626" s="94" t="s">
        <v>357</v>
      </c>
    </row>
    <row r="627" spans="1:10" hidden="1" x14ac:dyDescent="0.2">
      <c r="A627" s="94" t="s">
        <v>265</v>
      </c>
      <c r="B627" s="95">
        <v>2025</v>
      </c>
      <c r="C627" s="95">
        <v>111</v>
      </c>
      <c r="D627" s="94" t="s">
        <v>356</v>
      </c>
      <c r="E627" s="95">
        <v>11</v>
      </c>
      <c r="F627" s="95">
        <v>6</v>
      </c>
      <c r="G627" s="94" t="s">
        <v>271</v>
      </c>
      <c r="H627" s="167">
        <v>14060.8</v>
      </c>
      <c r="I627" s="96">
        <v>0</v>
      </c>
      <c r="J627" s="94" t="s">
        <v>357</v>
      </c>
    </row>
    <row r="628" spans="1:10" hidden="1" x14ac:dyDescent="0.2">
      <c r="A628" s="94" t="s">
        <v>265</v>
      </c>
      <c r="B628" s="95">
        <v>2025</v>
      </c>
      <c r="C628" s="95">
        <v>111</v>
      </c>
      <c r="D628" s="94" t="s">
        <v>356</v>
      </c>
      <c r="E628" s="95">
        <v>11</v>
      </c>
      <c r="F628" s="95">
        <v>24</v>
      </c>
      <c r="G628" s="94" t="s">
        <v>272</v>
      </c>
      <c r="H628" s="167">
        <v>1000</v>
      </c>
      <c r="I628" s="96">
        <v>0</v>
      </c>
      <c r="J628" s="94" t="s">
        <v>357</v>
      </c>
    </row>
    <row r="629" spans="1:10" hidden="1" x14ac:dyDescent="0.2">
      <c r="A629" s="94" t="s">
        <v>265</v>
      </c>
      <c r="B629" s="95">
        <v>2025</v>
      </c>
      <c r="C629" s="95">
        <v>111</v>
      </c>
      <c r="D629" s="94" t="s">
        <v>356</v>
      </c>
      <c r="E629" s="95">
        <v>11</v>
      </c>
      <c r="F629" s="95">
        <v>25</v>
      </c>
      <c r="G629" s="94" t="s">
        <v>273</v>
      </c>
      <c r="H629" s="167">
        <v>223.34</v>
      </c>
      <c r="I629" s="96">
        <v>0</v>
      </c>
      <c r="J629" s="94" t="s">
        <v>357</v>
      </c>
    </row>
    <row r="630" spans="1:10" hidden="1" x14ac:dyDescent="0.2">
      <c r="A630" s="94" t="s">
        <v>265</v>
      </c>
      <c r="B630" s="95">
        <v>2025</v>
      </c>
      <c r="C630" s="95">
        <v>111</v>
      </c>
      <c r="D630" s="94" t="s">
        <v>356</v>
      </c>
      <c r="E630" s="95">
        <v>11</v>
      </c>
      <c r="F630" s="95">
        <v>51</v>
      </c>
      <c r="G630" s="94" t="s">
        <v>274</v>
      </c>
      <c r="H630" s="167">
        <v>154</v>
      </c>
      <c r="I630" s="96">
        <v>0</v>
      </c>
      <c r="J630" s="94" t="s">
        <v>357</v>
      </c>
    </row>
    <row r="631" spans="1:10" x14ac:dyDescent="0.2">
      <c r="A631" s="94" t="s">
        <v>265</v>
      </c>
      <c r="B631" s="95">
        <v>2025</v>
      </c>
      <c r="C631" s="95">
        <v>111</v>
      </c>
      <c r="D631" s="94" t="s">
        <v>356</v>
      </c>
      <c r="E631" s="95">
        <v>11</v>
      </c>
      <c r="F631" s="95">
        <v>61</v>
      </c>
      <c r="G631" s="94" t="s">
        <v>319</v>
      </c>
      <c r="H631" s="167">
        <v>41946.879999999997</v>
      </c>
      <c r="I631" s="96">
        <v>0</v>
      </c>
      <c r="J631" s="94" t="s">
        <v>357</v>
      </c>
    </row>
    <row r="632" spans="1:10" hidden="1" x14ac:dyDescent="0.2">
      <c r="A632" s="94" t="s">
        <v>265</v>
      </c>
      <c r="B632" s="95">
        <v>2025</v>
      </c>
      <c r="C632" s="95">
        <v>111</v>
      </c>
      <c r="D632" s="94" t="s">
        <v>356</v>
      </c>
      <c r="E632" s="95">
        <v>11</v>
      </c>
      <c r="F632" s="95">
        <v>93</v>
      </c>
      <c r="G632" s="94" t="s">
        <v>275</v>
      </c>
      <c r="H632" s="167">
        <v>778.98</v>
      </c>
      <c r="I632" s="96">
        <v>0</v>
      </c>
      <c r="J632" s="94" t="s">
        <v>357</v>
      </c>
    </row>
    <row r="633" spans="1:10" hidden="1" x14ac:dyDescent="0.2">
      <c r="A633" s="94" t="s">
        <v>265</v>
      </c>
      <c r="B633" s="95">
        <v>2025</v>
      </c>
      <c r="C633" s="95">
        <v>112</v>
      </c>
      <c r="D633" s="94" t="s">
        <v>358</v>
      </c>
      <c r="E633" s="95">
        <v>11</v>
      </c>
      <c r="F633" s="95">
        <v>1</v>
      </c>
      <c r="G633" s="94" t="s">
        <v>267</v>
      </c>
      <c r="H633" s="167">
        <v>34550.83</v>
      </c>
      <c r="I633" s="96">
        <v>0</v>
      </c>
      <c r="J633" s="94" t="s">
        <v>357</v>
      </c>
    </row>
    <row r="634" spans="1:10" hidden="1" x14ac:dyDescent="0.2">
      <c r="A634" s="94" t="s">
        <v>265</v>
      </c>
      <c r="B634" s="95">
        <v>2025</v>
      </c>
      <c r="C634" s="95">
        <v>112</v>
      </c>
      <c r="D634" s="94" t="s">
        <v>358</v>
      </c>
      <c r="E634" s="95">
        <v>11</v>
      </c>
      <c r="F634" s="95">
        <v>3</v>
      </c>
      <c r="G634" s="94" t="s">
        <v>269</v>
      </c>
      <c r="H634" s="167">
        <v>230</v>
      </c>
      <c r="I634" s="96">
        <v>0</v>
      </c>
      <c r="J634" s="94" t="s">
        <v>357</v>
      </c>
    </row>
    <row r="635" spans="1:10" hidden="1" x14ac:dyDescent="0.2">
      <c r="A635" s="94" t="s">
        <v>265</v>
      </c>
      <c r="B635" s="95">
        <v>2025</v>
      </c>
      <c r="C635" s="95">
        <v>112</v>
      </c>
      <c r="D635" s="94" t="s">
        <v>358</v>
      </c>
      <c r="E635" s="95">
        <v>11</v>
      </c>
      <c r="F635" s="95">
        <v>4</v>
      </c>
      <c r="G635" s="94" t="s">
        <v>270</v>
      </c>
      <c r="H635" s="167">
        <v>315</v>
      </c>
      <c r="I635" s="96">
        <v>0</v>
      </c>
      <c r="J635" s="94" t="s">
        <v>357</v>
      </c>
    </row>
    <row r="636" spans="1:10" hidden="1" x14ac:dyDescent="0.2">
      <c r="A636" s="94" t="s">
        <v>265</v>
      </c>
      <c r="B636" s="95">
        <v>2025</v>
      </c>
      <c r="C636" s="95">
        <v>112</v>
      </c>
      <c r="D636" s="94" t="s">
        <v>358</v>
      </c>
      <c r="E636" s="95">
        <v>11</v>
      </c>
      <c r="F636" s="95">
        <v>6</v>
      </c>
      <c r="G636" s="94" t="s">
        <v>271</v>
      </c>
      <c r="H636" s="167">
        <v>14807.5</v>
      </c>
      <c r="I636" s="96">
        <v>0</v>
      </c>
      <c r="J636" s="94" t="s">
        <v>357</v>
      </c>
    </row>
    <row r="637" spans="1:10" hidden="1" x14ac:dyDescent="0.2">
      <c r="A637" s="94" t="s">
        <v>265</v>
      </c>
      <c r="B637" s="95">
        <v>2025</v>
      </c>
      <c r="C637" s="95">
        <v>112</v>
      </c>
      <c r="D637" s="94" t="s">
        <v>358</v>
      </c>
      <c r="E637" s="95">
        <v>11</v>
      </c>
      <c r="F637" s="95">
        <v>24</v>
      </c>
      <c r="G637" s="94" t="s">
        <v>272</v>
      </c>
      <c r="H637" s="167">
        <v>999.9</v>
      </c>
      <c r="I637" s="96">
        <v>0</v>
      </c>
      <c r="J637" s="94" t="s">
        <v>357</v>
      </c>
    </row>
    <row r="638" spans="1:10" hidden="1" x14ac:dyDescent="0.2">
      <c r="A638" s="94" t="s">
        <v>265</v>
      </c>
      <c r="B638" s="95">
        <v>2025</v>
      </c>
      <c r="C638" s="95">
        <v>112</v>
      </c>
      <c r="D638" s="94" t="s">
        <v>358</v>
      </c>
      <c r="E638" s="95">
        <v>11</v>
      </c>
      <c r="F638" s="95">
        <v>25</v>
      </c>
      <c r="G638" s="94" t="s">
        <v>273</v>
      </c>
      <c r="H638" s="167">
        <v>154</v>
      </c>
      <c r="I638" s="96">
        <v>0</v>
      </c>
      <c r="J638" s="94" t="s">
        <v>357</v>
      </c>
    </row>
    <row r="639" spans="1:10" hidden="1" x14ac:dyDescent="0.2">
      <c r="A639" s="94" t="s">
        <v>265</v>
      </c>
      <c r="B639" s="95">
        <v>2025</v>
      </c>
      <c r="C639" s="95">
        <v>112</v>
      </c>
      <c r="D639" s="94" t="s">
        <v>358</v>
      </c>
      <c r="E639" s="95">
        <v>11</v>
      </c>
      <c r="F639" s="95">
        <v>51</v>
      </c>
      <c r="G639" s="94" t="s">
        <v>274</v>
      </c>
      <c r="H639" s="167">
        <v>154</v>
      </c>
      <c r="I639" s="96">
        <v>0</v>
      </c>
      <c r="J639" s="94" t="s">
        <v>357</v>
      </c>
    </row>
    <row r="640" spans="1:10" x14ac:dyDescent="0.2">
      <c r="A640" s="94" t="s">
        <v>265</v>
      </c>
      <c r="B640" s="95">
        <v>2025</v>
      </c>
      <c r="C640" s="95">
        <v>112</v>
      </c>
      <c r="D640" s="94" t="s">
        <v>358</v>
      </c>
      <c r="E640" s="95">
        <v>11</v>
      </c>
      <c r="F640" s="95">
        <v>62</v>
      </c>
      <c r="G640" s="94" t="s">
        <v>282</v>
      </c>
      <c r="H640" s="167">
        <v>105445.01</v>
      </c>
      <c r="I640" s="96">
        <v>0</v>
      </c>
      <c r="J640" s="94" t="s">
        <v>357</v>
      </c>
    </row>
    <row r="641" spans="1:10" hidden="1" x14ac:dyDescent="0.2">
      <c r="A641" s="94" t="s">
        <v>265</v>
      </c>
      <c r="B641" s="95">
        <v>2025</v>
      </c>
      <c r="C641" s="95">
        <v>112</v>
      </c>
      <c r="D641" s="94" t="s">
        <v>358</v>
      </c>
      <c r="E641" s="95">
        <v>11</v>
      </c>
      <c r="F641" s="95">
        <v>93</v>
      </c>
      <c r="G641" s="94" t="s">
        <v>275</v>
      </c>
      <c r="H641" s="167">
        <v>1148.0899999999999</v>
      </c>
      <c r="I641" s="96">
        <v>0</v>
      </c>
      <c r="J641" s="94" t="s">
        <v>357</v>
      </c>
    </row>
    <row r="642" spans="1:10" hidden="1" x14ac:dyDescent="0.2">
      <c r="A642" s="94" t="s">
        <v>265</v>
      </c>
      <c r="B642" s="95">
        <v>2025</v>
      </c>
      <c r="C642" s="95">
        <v>113</v>
      </c>
      <c r="D642" s="94" t="s">
        <v>359</v>
      </c>
      <c r="E642" s="95">
        <v>11</v>
      </c>
      <c r="F642" s="95">
        <v>1</v>
      </c>
      <c r="G642" s="94" t="s">
        <v>267</v>
      </c>
      <c r="H642" s="167">
        <v>43872.68</v>
      </c>
      <c r="I642" s="96">
        <v>0</v>
      </c>
      <c r="J642" s="94" t="s">
        <v>357</v>
      </c>
    </row>
    <row r="643" spans="1:10" hidden="1" x14ac:dyDescent="0.2">
      <c r="A643" s="94" t="s">
        <v>265</v>
      </c>
      <c r="B643" s="95">
        <v>2025</v>
      </c>
      <c r="C643" s="95">
        <v>113</v>
      </c>
      <c r="D643" s="94" t="s">
        <v>359</v>
      </c>
      <c r="E643" s="95">
        <v>11</v>
      </c>
      <c r="F643" s="95">
        <v>3</v>
      </c>
      <c r="G643" s="94" t="s">
        <v>269</v>
      </c>
      <c r="H643" s="167">
        <v>230</v>
      </c>
      <c r="I643" s="96">
        <v>0</v>
      </c>
      <c r="J643" s="94" t="s">
        <v>357</v>
      </c>
    </row>
    <row r="644" spans="1:10" hidden="1" x14ac:dyDescent="0.2">
      <c r="A644" s="94" t="s">
        <v>265</v>
      </c>
      <c r="B644" s="95">
        <v>2025</v>
      </c>
      <c r="C644" s="95">
        <v>113</v>
      </c>
      <c r="D644" s="94" t="s">
        <v>359</v>
      </c>
      <c r="E644" s="95">
        <v>11</v>
      </c>
      <c r="F644" s="95">
        <v>4</v>
      </c>
      <c r="G644" s="94" t="s">
        <v>270</v>
      </c>
      <c r="H644" s="167">
        <v>315</v>
      </c>
      <c r="I644" s="96">
        <v>0</v>
      </c>
      <c r="J644" s="94" t="s">
        <v>357</v>
      </c>
    </row>
    <row r="645" spans="1:10" hidden="1" x14ac:dyDescent="0.2">
      <c r="A645" s="94" t="s">
        <v>265</v>
      </c>
      <c r="B645" s="95">
        <v>2025</v>
      </c>
      <c r="C645" s="95">
        <v>113</v>
      </c>
      <c r="D645" s="94" t="s">
        <v>359</v>
      </c>
      <c r="E645" s="95">
        <v>11</v>
      </c>
      <c r="F645" s="95">
        <v>6</v>
      </c>
      <c r="G645" s="94" t="s">
        <v>271</v>
      </c>
      <c r="H645" s="167">
        <v>18802.580000000002</v>
      </c>
      <c r="I645" s="96">
        <v>0</v>
      </c>
      <c r="J645" s="94" t="s">
        <v>357</v>
      </c>
    </row>
    <row r="646" spans="1:10" x14ac:dyDescent="0.2">
      <c r="A646" s="94" t="s">
        <v>265</v>
      </c>
      <c r="B646" s="95">
        <v>2025</v>
      </c>
      <c r="C646" s="95">
        <v>113</v>
      </c>
      <c r="D646" s="94" t="s">
        <v>359</v>
      </c>
      <c r="E646" s="95">
        <v>11</v>
      </c>
      <c r="F646" s="95">
        <v>15</v>
      </c>
      <c r="G646" s="94" t="s">
        <v>281</v>
      </c>
      <c r="H646" s="167">
        <v>1170789.95</v>
      </c>
      <c r="I646" s="96">
        <v>0</v>
      </c>
      <c r="J646" s="94" t="s">
        <v>357</v>
      </c>
    </row>
    <row r="647" spans="1:10" hidden="1" x14ac:dyDescent="0.2">
      <c r="A647" s="94" t="s">
        <v>265</v>
      </c>
      <c r="B647" s="95">
        <v>2025</v>
      </c>
      <c r="C647" s="95">
        <v>113</v>
      </c>
      <c r="D647" s="94" t="s">
        <v>359</v>
      </c>
      <c r="E647" s="95">
        <v>11</v>
      </c>
      <c r="F647" s="95">
        <v>22</v>
      </c>
      <c r="G647" s="94" t="s">
        <v>296</v>
      </c>
      <c r="H647" s="167">
        <v>150</v>
      </c>
      <c r="I647" s="96">
        <v>0</v>
      </c>
      <c r="J647" s="94" t="s">
        <v>357</v>
      </c>
    </row>
    <row r="648" spans="1:10" hidden="1" x14ac:dyDescent="0.2">
      <c r="A648" s="94" t="s">
        <v>265</v>
      </c>
      <c r="B648" s="95">
        <v>2025</v>
      </c>
      <c r="C648" s="95">
        <v>113</v>
      </c>
      <c r="D648" s="94" t="s">
        <v>359</v>
      </c>
      <c r="E648" s="95">
        <v>11</v>
      </c>
      <c r="F648" s="95">
        <v>24</v>
      </c>
      <c r="G648" s="94" t="s">
        <v>272</v>
      </c>
      <c r="H648" s="167">
        <v>1000</v>
      </c>
      <c r="I648" s="96">
        <v>0</v>
      </c>
      <c r="J648" s="94" t="s">
        <v>357</v>
      </c>
    </row>
    <row r="649" spans="1:10" hidden="1" x14ac:dyDescent="0.2">
      <c r="A649" s="94" t="s">
        <v>265</v>
      </c>
      <c r="B649" s="95">
        <v>2025</v>
      </c>
      <c r="C649" s="95">
        <v>113</v>
      </c>
      <c r="D649" s="94" t="s">
        <v>359</v>
      </c>
      <c r="E649" s="95">
        <v>11</v>
      </c>
      <c r="F649" s="95">
        <v>25</v>
      </c>
      <c r="G649" s="94" t="s">
        <v>273</v>
      </c>
      <c r="H649" s="167">
        <v>303.99</v>
      </c>
      <c r="I649" s="96">
        <v>0</v>
      </c>
      <c r="J649" s="94" t="s">
        <v>357</v>
      </c>
    </row>
    <row r="650" spans="1:10" hidden="1" x14ac:dyDescent="0.2">
      <c r="A650" s="94" t="s">
        <v>265</v>
      </c>
      <c r="B650" s="95">
        <v>2025</v>
      </c>
      <c r="C650" s="95">
        <v>113</v>
      </c>
      <c r="D650" s="94" t="s">
        <v>359</v>
      </c>
      <c r="E650" s="95">
        <v>11</v>
      </c>
      <c r="F650" s="95">
        <v>51</v>
      </c>
      <c r="G650" s="94" t="s">
        <v>274</v>
      </c>
      <c r="H650" s="167">
        <v>154</v>
      </c>
      <c r="I650" s="96">
        <v>0</v>
      </c>
      <c r="J650" s="94" t="s">
        <v>357</v>
      </c>
    </row>
    <row r="651" spans="1:10" x14ac:dyDescent="0.2">
      <c r="A651" s="94" t="s">
        <v>265</v>
      </c>
      <c r="B651" s="95">
        <v>2025</v>
      </c>
      <c r="C651" s="95">
        <v>113</v>
      </c>
      <c r="D651" s="94" t="s">
        <v>359</v>
      </c>
      <c r="E651" s="95">
        <v>11</v>
      </c>
      <c r="F651" s="95">
        <v>62</v>
      </c>
      <c r="G651" s="94" t="s">
        <v>282</v>
      </c>
      <c r="H651" s="167">
        <v>1636636.45</v>
      </c>
      <c r="I651" s="96">
        <v>0</v>
      </c>
      <c r="J651" s="94" t="s">
        <v>357</v>
      </c>
    </row>
    <row r="652" spans="1:10" hidden="1" x14ac:dyDescent="0.2">
      <c r="A652" s="94" t="s">
        <v>265</v>
      </c>
      <c r="B652" s="95">
        <v>2025</v>
      </c>
      <c r="C652" s="95">
        <v>113</v>
      </c>
      <c r="D652" s="94" t="s">
        <v>359</v>
      </c>
      <c r="E652" s="95">
        <v>11</v>
      </c>
      <c r="F652" s="95">
        <v>93</v>
      </c>
      <c r="G652" s="94" t="s">
        <v>275</v>
      </c>
      <c r="H652" s="167">
        <v>3122.99</v>
      </c>
      <c r="I652" s="96">
        <v>0</v>
      </c>
      <c r="J652" s="94" t="s">
        <v>357</v>
      </c>
    </row>
    <row r="653" spans="1:10" hidden="1" x14ac:dyDescent="0.2">
      <c r="A653" s="94" t="s">
        <v>265</v>
      </c>
      <c r="B653" s="95">
        <v>2025</v>
      </c>
      <c r="C653" s="95">
        <v>114</v>
      </c>
      <c r="D653" s="94" t="s">
        <v>360</v>
      </c>
      <c r="E653" s="95">
        <v>11</v>
      </c>
      <c r="F653" s="95">
        <v>1</v>
      </c>
      <c r="G653" s="94" t="s">
        <v>267</v>
      </c>
      <c r="H653" s="167">
        <v>22861.439999999999</v>
      </c>
      <c r="I653" s="96">
        <v>0</v>
      </c>
      <c r="J653" s="94" t="s">
        <v>357</v>
      </c>
    </row>
    <row r="654" spans="1:10" hidden="1" x14ac:dyDescent="0.2">
      <c r="A654" s="94" t="s">
        <v>265</v>
      </c>
      <c r="B654" s="95">
        <v>2025</v>
      </c>
      <c r="C654" s="95">
        <v>114</v>
      </c>
      <c r="D654" s="94" t="s">
        <v>360</v>
      </c>
      <c r="E654" s="95">
        <v>11</v>
      </c>
      <c r="F654" s="95">
        <v>3</v>
      </c>
      <c r="G654" s="94" t="s">
        <v>269</v>
      </c>
      <c r="H654" s="167">
        <v>216.92</v>
      </c>
      <c r="I654" s="96">
        <v>0</v>
      </c>
      <c r="J654" s="94" t="s">
        <v>357</v>
      </c>
    </row>
    <row r="655" spans="1:10" hidden="1" x14ac:dyDescent="0.2">
      <c r="A655" s="94" t="s">
        <v>265</v>
      </c>
      <c r="B655" s="95">
        <v>2025</v>
      </c>
      <c r="C655" s="95">
        <v>114</v>
      </c>
      <c r="D655" s="94" t="s">
        <v>360</v>
      </c>
      <c r="E655" s="95">
        <v>11</v>
      </c>
      <c r="F655" s="95">
        <v>4</v>
      </c>
      <c r="G655" s="94" t="s">
        <v>270</v>
      </c>
      <c r="H655" s="167">
        <v>315</v>
      </c>
      <c r="I655" s="96">
        <v>0</v>
      </c>
      <c r="J655" s="94" t="s">
        <v>357</v>
      </c>
    </row>
    <row r="656" spans="1:10" hidden="1" x14ac:dyDescent="0.2">
      <c r="A656" s="94" t="s">
        <v>265</v>
      </c>
      <c r="B656" s="95">
        <v>2025</v>
      </c>
      <c r="C656" s="95">
        <v>114</v>
      </c>
      <c r="D656" s="94" t="s">
        <v>360</v>
      </c>
      <c r="E656" s="95">
        <v>11</v>
      </c>
      <c r="F656" s="95">
        <v>6</v>
      </c>
      <c r="G656" s="94" t="s">
        <v>271</v>
      </c>
      <c r="H656" s="167">
        <v>9797.76</v>
      </c>
      <c r="I656" s="96">
        <v>0</v>
      </c>
      <c r="J656" s="94" t="s">
        <v>357</v>
      </c>
    </row>
    <row r="657" spans="1:10" hidden="1" x14ac:dyDescent="0.2">
      <c r="A657" s="94" t="s">
        <v>265</v>
      </c>
      <c r="B657" s="95">
        <v>2025</v>
      </c>
      <c r="C657" s="95">
        <v>114</v>
      </c>
      <c r="D657" s="94" t="s">
        <v>360</v>
      </c>
      <c r="E657" s="95">
        <v>11</v>
      </c>
      <c r="F657" s="95">
        <v>24</v>
      </c>
      <c r="G657" s="94" t="s">
        <v>272</v>
      </c>
      <c r="H657" s="167">
        <v>992.09</v>
      </c>
      <c r="I657" s="96">
        <v>0</v>
      </c>
      <c r="J657" s="94" t="s">
        <v>357</v>
      </c>
    </row>
    <row r="658" spans="1:10" hidden="1" x14ac:dyDescent="0.2">
      <c r="A658" s="94" t="s">
        <v>265</v>
      </c>
      <c r="B658" s="95">
        <v>2025</v>
      </c>
      <c r="C658" s="95">
        <v>114</v>
      </c>
      <c r="D658" s="94" t="s">
        <v>360</v>
      </c>
      <c r="E658" s="95">
        <v>11</v>
      </c>
      <c r="F658" s="95">
        <v>25</v>
      </c>
      <c r="G658" s="94" t="s">
        <v>273</v>
      </c>
      <c r="H658" s="167">
        <v>138.30000000000001</v>
      </c>
      <c r="I658" s="96">
        <v>0</v>
      </c>
      <c r="J658" s="94" t="s">
        <v>357</v>
      </c>
    </row>
    <row r="659" spans="1:10" hidden="1" x14ac:dyDescent="0.2">
      <c r="A659" s="94" t="s">
        <v>265</v>
      </c>
      <c r="B659" s="95">
        <v>2025</v>
      </c>
      <c r="C659" s="95">
        <v>114</v>
      </c>
      <c r="D659" s="94" t="s">
        <v>360</v>
      </c>
      <c r="E659" s="95">
        <v>11</v>
      </c>
      <c r="F659" s="95">
        <v>51</v>
      </c>
      <c r="G659" s="94" t="s">
        <v>274</v>
      </c>
      <c r="H659" s="167">
        <v>154</v>
      </c>
      <c r="I659" s="96">
        <v>0</v>
      </c>
      <c r="J659" s="94" t="s">
        <v>357</v>
      </c>
    </row>
    <row r="660" spans="1:10" hidden="1" x14ac:dyDescent="0.2">
      <c r="A660" s="94" t="s">
        <v>265</v>
      </c>
      <c r="B660" s="95">
        <v>2025</v>
      </c>
      <c r="C660" s="95">
        <v>115</v>
      </c>
      <c r="D660" s="94" t="s">
        <v>361</v>
      </c>
      <c r="E660" s="95">
        <v>11</v>
      </c>
      <c r="F660" s="95">
        <v>1</v>
      </c>
      <c r="G660" s="94" t="s">
        <v>267</v>
      </c>
      <c r="H660" s="167">
        <v>22033.14</v>
      </c>
      <c r="I660" s="96">
        <v>0</v>
      </c>
      <c r="J660" s="94" t="s">
        <v>357</v>
      </c>
    </row>
    <row r="661" spans="1:10" hidden="1" x14ac:dyDescent="0.2">
      <c r="A661" s="94" t="s">
        <v>265</v>
      </c>
      <c r="B661" s="95">
        <v>2025</v>
      </c>
      <c r="C661" s="95">
        <v>115</v>
      </c>
      <c r="D661" s="94" t="s">
        <v>361</v>
      </c>
      <c r="E661" s="95">
        <v>11</v>
      </c>
      <c r="F661" s="95">
        <v>3</v>
      </c>
      <c r="G661" s="94" t="s">
        <v>269</v>
      </c>
      <c r="H661" s="167">
        <v>218.48</v>
      </c>
      <c r="I661" s="96">
        <v>0</v>
      </c>
      <c r="J661" s="94" t="s">
        <v>357</v>
      </c>
    </row>
    <row r="662" spans="1:10" hidden="1" x14ac:dyDescent="0.2">
      <c r="A662" s="94" t="s">
        <v>265</v>
      </c>
      <c r="B662" s="95">
        <v>2025</v>
      </c>
      <c r="C662" s="95">
        <v>115</v>
      </c>
      <c r="D662" s="94" t="s">
        <v>361</v>
      </c>
      <c r="E662" s="95">
        <v>11</v>
      </c>
      <c r="F662" s="95">
        <v>4</v>
      </c>
      <c r="G662" s="94" t="s">
        <v>270</v>
      </c>
      <c r="H662" s="167">
        <v>315</v>
      </c>
      <c r="I662" s="96">
        <v>0</v>
      </c>
      <c r="J662" s="94" t="s">
        <v>357</v>
      </c>
    </row>
    <row r="663" spans="1:10" hidden="1" x14ac:dyDescent="0.2">
      <c r="A663" s="94" t="s">
        <v>265</v>
      </c>
      <c r="B663" s="95">
        <v>2025</v>
      </c>
      <c r="C663" s="95">
        <v>115</v>
      </c>
      <c r="D663" s="94" t="s">
        <v>361</v>
      </c>
      <c r="E663" s="95">
        <v>11</v>
      </c>
      <c r="F663" s="95">
        <v>6</v>
      </c>
      <c r="G663" s="94" t="s">
        <v>271</v>
      </c>
      <c r="H663" s="167">
        <v>9442.7800000000007</v>
      </c>
      <c r="I663" s="96">
        <v>0</v>
      </c>
      <c r="J663" s="94" t="s">
        <v>357</v>
      </c>
    </row>
    <row r="664" spans="1:10" hidden="1" x14ac:dyDescent="0.2">
      <c r="A664" s="94" t="s">
        <v>265</v>
      </c>
      <c r="B664" s="95">
        <v>2025</v>
      </c>
      <c r="C664" s="95">
        <v>115</v>
      </c>
      <c r="D664" s="94" t="s">
        <v>361</v>
      </c>
      <c r="E664" s="95">
        <v>11</v>
      </c>
      <c r="F664" s="95">
        <v>24</v>
      </c>
      <c r="G664" s="94" t="s">
        <v>272</v>
      </c>
      <c r="H664" s="167">
        <v>1000</v>
      </c>
      <c r="I664" s="96">
        <v>0</v>
      </c>
      <c r="J664" s="94" t="s">
        <v>357</v>
      </c>
    </row>
    <row r="665" spans="1:10" hidden="1" x14ac:dyDescent="0.2">
      <c r="A665" s="94" t="s">
        <v>265</v>
      </c>
      <c r="B665" s="95">
        <v>2025</v>
      </c>
      <c r="C665" s="95">
        <v>115</v>
      </c>
      <c r="D665" s="94" t="s">
        <v>361</v>
      </c>
      <c r="E665" s="95">
        <v>11</v>
      </c>
      <c r="F665" s="95">
        <v>25</v>
      </c>
      <c r="G665" s="94" t="s">
        <v>273</v>
      </c>
      <c r="H665" s="167">
        <v>136.76</v>
      </c>
      <c r="I665" s="96">
        <v>0</v>
      </c>
      <c r="J665" s="94" t="s">
        <v>357</v>
      </c>
    </row>
    <row r="666" spans="1:10" hidden="1" x14ac:dyDescent="0.2">
      <c r="A666" s="94" t="s">
        <v>265</v>
      </c>
      <c r="B666" s="95">
        <v>2025</v>
      </c>
      <c r="C666" s="95">
        <v>115</v>
      </c>
      <c r="D666" s="94" t="s">
        <v>361</v>
      </c>
      <c r="E666" s="95">
        <v>11</v>
      </c>
      <c r="F666" s="95">
        <v>51</v>
      </c>
      <c r="G666" s="94" t="s">
        <v>274</v>
      </c>
      <c r="H666" s="167">
        <v>154</v>
      </c>
      <c r="I666" s="96">
        <v>0</v>
      </c>
      <c r="J666" s="94" t="s">
        <v>357</v>
      </c>
    </row>
    <row r="667" spans="1:10" hidden="1" x14ac:dyDescent="0.2">
      <c r="A667" s="94" t="s">
        <v>265</v>
      </c>
      <c r="B667" s="95">
        <v>2025</v>
      </c>
      <c r="C667" s="95">
        <v>117</v>
      </c>
      <c r="D667" s="94" t="s">
        <v>362</v>
      </c>
      <c r="E667" s="95">
        <v>11</v>
      </c>
      <c r="F667" s="95">
        <v>1</v>
      </c>
      <c r="G667" s="94" t="s">
        <v>267</v>
      </c>
      <c r="H667" s="167">
        <v>33365.5</v>
      </c>
      <c r="I667" s="96">
        <v>0</v>
      </c>
      <c r="J667" s="94" t="s">
        <v>357</v>
      </c>
    </row>
    <row r="668" spans="1:10" hidden="1" x14ac:dyDescent="0.2">
      <c r="A668" s="94" t="s">
        <v>265</v>
      </c>
      <c r="B668" s="95">
        <v>2025</v>
      </c>
      <c r="C668" s="95">
        <v>117</v>
      </c>
      <c r="D668" s="94" t="s">
        <v>362</v>
      </c>
      <c r="E668" s="95">
        <v>11</v>
      </c>
      <c r="F668" s="95">
        <v>3</v>
      </c>
      <c r="G668" s="94" t="s">
        <v>269</v>
      </c>
      <c r="H668" s="167">
        <v>303.99</v>
      </c>
      <c r="I668" s="96">
        <v>0</v>
      </c>
      <c r="J668" s="94" t="s">
        <v>357</v>
      </c>
    </row>
    <row r="669" spans="1:10" hidden="1" x14ac:dyDescent="0.2">
      <c r="A669" s="94" t="s">
        <v>265</v>
      </c>
      <c r="B669" s="95">
        <v>2025</v>
      </c>
      <c r="C669" s="95">
        <v>117</v>
      </c>
      <c r="D669" s="94" t="s">
        <v>362</v>
      </c>
      <c r="E669" s="95">
        <v>11</v>
      </c>
      <c r="F669" s="95">
        <v>4</v>
      </c>
      <c r="G669" s="94" t="s">
        <v>270</v>
      </c>
      <c r="H669" s="167">
        <v>315</v>
      </c>
      <c r="I669" s="96">
        <v>0</v>
      </c>
      <c r="J669" s="94" t="s">
        <v>357</v>
      </c>
    </row>
    <row r="670" spans="1:10" hidden="1" x14ac:dyDescent="0.2">
      <c r="A670" s="94" t="s">
        <v>265</v>
      </c>
      <c r="B670" s="95">
        <v>2025</v>
      </c>
      <c r="C670" s="95">
        <v>117</v>
      </c>
      <c r="D670" s="94" t="s">
        <v>362</v>
      </c>
      <c r="E670" s="95">
        <v>11</v>
      </c>
      <c r="F670" s="95">
        <v>6</v>
      </c>
      <c r="G670" s="94" t="s">
        <v>271</v>
      </c>
      <c r="H670" s="167">
        <v>14299.5</v>
      </c>
      <c r="I670" s="96">
        <v>0</v>
      </c>
      <c r="J670" s="94" t="s">
        <v>357</v>
      </c>
    </row>
    <row r="671" spans="1:10" hidden="1" x14ac:dyDescent="0.2">
      <c r="A671" s="94" t="s">
        <v>265</v>
      </c>
      <c r="B671" s="95">
        <v>2025</v>
      </c>
      <c r="C671" s="95">
        <v>117</v>
      </c>
      <c r="D671" s="94" t="s">
        <v>362</v>
      </c>
      <c r="E671" s="95">
        <v>11</v>
      </c>
      <c r="F671" s="95">
        <v>24</v>
      </c>
      <c r="G671" s="94" t="s">
        <v>272</v>
      </c>
      <c r="H671" s="167">
        <v>1000</v>
      </c>
      <c r="I671" s="96">
        <v>0</v>
      </c>
      <c r="J671" s="94" t="s">
        <v>357</v>
      </c>
    </row>
    <row r="672" spans="1:10" hidden="1" x14ac:dyDescent="0.2">
      <c r="A672" s="94" t="s">
        <v>265</v>
      </c>
      <c r="B672" s="95">
        <v>2025</v>
      </c>
      <c r="C672" s="95">
        <v>117</v>
      </c>
      <c r="D672" s="94" t="s">
        <v>362</v>
      </c>
      <c r="E672" s="95">
        <v>11</v>
      </c>
      <c r="F672" s="95">
        <v>25</v>
      </c>
      <c r="G672" s="94" t="s">
        <v>273</v>
      </c>
      <c r="H672" s="167">
        <v>251.98</v>
      </c>
      <c r="I672" s="96">
        <v>0</v>
      </c>
      <c r="J672" s="94" t="s">
        <v>357</v>
      </c>
    </row>
    <row r="673" spans="1:10" hidden="1" x14ac:dyDescent="0.2">
      <c r="A673" s="94" t="s">
        <v>265</v>
      </c>
      <c r="B673" s="95">
        <v>2025</v>
      </c>
      <c r="C673" s="95">
        <v>117</v>
      </c>
      <c r="D673" s="94" t="s">
        <v>362</v>
      </c>
      <c r="E673" s="95">
        <v>11</v>
      </c>
      <c r="F673" s="95">
        <v>51</v>
      </c>
      <c r="G673" s="94" t="s">
        <v>274</v>
      </c>
      <c r="H673" s="167">
        <v>154</v>
      </c>
      <c r="I673" s="96">
        <v>0</v>
      </c>
      <c r="J673" s="94" t="s">
        <v>357</v>
      </c>
    </row>
    <row r="674" spans="1:10" hidden="1" x14ac:dyDescent="0.2">
      <c r="A674" s="94" t="s">
        <v>265</v>
      </c>
      <c r="B674" s="95">
        <v>2025</v>
      </c>
      <c r="C674" s="95">
        <v>117</v>
      </c>
      <c r="D674" s="94" t="s">
        <v>362</v>
      </c>
      <c r="E674" s="95">
        <v>11</v>
      </c>
      <c r="F674" s="95">
        <v>93</v>
      </c>
      <c r="G674" s="94" t="s">
        <v>275</v>
      </c>
      <c r="H674" s="167">
        <v>601.48</v>
      </c>
      <c r="I674" s="96">
        <v>0</v>
      </c>
      <c r="J674" s="94" t="s">
        <v>357</v>
      </c>
    </row>
    <row r="675" spans="1:10" hidden="1" x14ac:dyDescent="0.2">
      <c r="A675" s="94" t="s">
        <v>265</v>
      </c>
      <c r="B675" s="95">
        <v>2025</v>
      </c>
      <c r="C675" s="95">
        <v>119</v>
      </c>
      <c r="D675" s="94" t="s">
        <v>363</v>
      </c>
      <c r="E675" s="95">
        <v>11</v>
      </c>
      <c r="F675" s="95">
        <v>1</v>
      </c>
      <c r="G675" s="94" t="s">
        <v>267</v>
      </c>
      <c r="H675" s="167">
        <v>23190.71</v>
      </c>
      <c r="I675" s="96">
        <v>0</v>
      </c>
      <c r="J675" s="94" t="s">
        <v>357</v>
      </c>
    </row>
    <row r="676" spans="1:10" hidden="1" x14ac:dyDescent="0.2">
      <c r="A676" s="94" t="s">
        <v>265</v>
      </c>
      <c r="B676" s="95">
        <v>2025</v>
      </c>
      <c r="C676" s="95">
        <v>119</v>
      </c>
      <c r="D676" s="94" t="s">
        <v>363</v>
      </c>
      <c r="E676" s="95">
        <v>11</v>
      </c>
      <c r="F676" s="95">
        <v>3</v>
      </c>
      <c r="G676" s="94" t="s">
        <v>269</v>
      </c>
      <c r="H676" s="167">
        <v>216.92</v>
      </c>
      <c r="I676" s="96">
        <v>0</v>
      </c>
      <c r="J676" s="94" t="s">
        <v>357</v>
      </c>
    </row>
    <row r="677" spans="1:10" hidden="1" x14ac:dyDescent="0.2">
      <c r="A677" s="94" t="s">
        <v>265</v>
      </c>
      <c r="B677" s="95">
        <v>2025</v>
      </c>
      <c r="C677" s="95">
        <v>119</v>
      </c>
      <c r="D677" s="94" t="s">
        <v>363</v>
      </c>
      <c r="E677" s="95">
        <v>11</v>
      </c>
      <c r="F677" s="95">
        <v>4</v>
      </c>
      <c r="G677" s="94" t="s">
        <v>270</v>
      </c>
      <c r="H677" s="167">
        <v>315</v>
      </c>
      <c r="I677" s="96">
        <v>0</v>
      </c>
      <c r="J677" s="94" t="s">
        <v>357</v>
      </c>
    </row>
    <row r="678" spans="1:10" hidden="1" x14ac:dyDescent="0.2">
      <c r="A678" s="94" t="s">
        <v>265</v>
      </c>
      <c r="B678" s="95">
        <v>2025</v>
      </c>
      <c r="C678" s="95">
        <v>119</v>
      </c>
      <c r="D678" s="94" t="s">
        <v>363</v>
      </c>
      <c r="E678" s="95">
        <v>11</v>
      </c>
      <c r="F678" s="95">
        <v>6</v>
      </c>
      <c r="G678" s="94" t="s">
        <v>271</v>
      </c>
      <c r="H678" s="167">
        <v>9938.8799999999992</v>
      </c>
      <c r="I678" s="96">
        <v>0</v>
      </c>
      <c r="J678" s="94" t="s">
        <v>357</v>
      </c>
    </row>
    <row r="679" spans="1:10" hidden="1" x14ac:dyDescent="0.2">
      <c r="A679" s="94" t="s">
        <v>265</v>
      </c>
      <c r="B679" s="95">
        <v>2025</v>
      </c>
      <c r="C679" s="95">
        <v>119</v>
      </c>
      <c r="D679" s="94" t="s">
        <v>363</v>
      </c>
      <c r="E679" s="95">
        <v>11</v>
      </c>
      <c r="F679" s="95">
        <v>24</v>
      </c>
      <c r="G679" s="94" t="s">
        <v>272</v>
      </c>
      <c r="H679" s="167">
        <v>999.1</v>
      </c>
      <c r="I679" s="96">
        <v>0</v>
      </c>
      <c r="J679" s="94" t="s">
        <v>357</v>
      </c>
    </row>
    <row r="680" spans="1:10" hidden="1" x14ac:dyDescent="0.2">
      <c r="A680" s="94" t="s">
        <v>265</v>
      </c>
      <c r="B680" s="95">
        <v>2025</v>
      </c>
      <c r="C680" s="95">
        <v>119</v>
      </c>
      <c r="D680" s="94" t="s">
        <v>363</v>
      </c>
      <c r="E680" s="95">
        <v>11</v>
      </c>
      <c r="F680" s="95">
        <v>25</v>
      </c>
      <c r="G680" s="94" t="s">
        <v>273</v>
      </c>
      <c r="H680" s="167">
        <v>136.78</v>
      </c>
      <c r="I680" s="96">
        <v>0</v>
      </c>
      <c r="J680" s="94" t="s">
        <v>357</v>
      </c>
    </row>
    <row r="681" spans="1:10" hidden="1" x14ac:dyDescent="0.2">
      <c r="A681" s="94" t="s">
        <v>265</v>
      </c>
      <c r="B681" s="95">
        <v>2025</v>
      </c>
      <c r="C681" s="95">
        <v>119</v>
      </c>
      <c r="D681" s="94" t="s">
        <v>363</v>
      </c>
      <c r="E681" s="95">
        <v>11</v>
      </c>
      <c r="F681" s="95">
        <v>51</v>
      </c>
      <c r="G681" s="94" t="s">
        <v>274</v>
      </c>
      <c r="H681" s="167">
        <v>154</v>
      </c>
      <c r="I681" s="96">
        <v>0</v>
      </c>
      <c r="J681" s="94" t="s">
        <v>357</v>
      </c>
    </row>
    <row r="682" spans="1:10" hidden="1" x14ac:dyDescent="0.2">
      <c r="A682" s="94" t="s">
        <v>265</v>
      </c>
      <c r="B682" s="95">
        <v>2025</v>
      </c>
      <c r="C682" s="95">
        <v>122</v>
      </c>
      <c r="D682" s="94" t="s">
        <v>364</v>
      </c>
      <c r="E682" s="95">
        <v>11</v>
      </c>
      <c r="F682" s="95">
        <v>1</v>
      </c>
      <c r="G682" s="94" t="s">
        <v>267</v>
      </c>
      <c r="H682" s="167">
        <v>43578.5</v>
      </c>
      <c r="I682" s="96">
        <v>0</v>
      </c>
      <c r="J682" s="94" t="s">
        <v>357</v>
      </c>
    </row>
    <row r="683" spans="1:10" hidden="1" x14ac:dyDescent="0.2">
      <c r="A683" s="94" t="s">
        <v>265</v>
      </c>
      <c r="B683" s="95">
        <v>2025</v>
      </c>
      <c r="C683" s="95">
        <v>122</v>
      </c>
      <c r="D683" s="94" t="s">
        <v>364</v>
      </c>
      <c r="E683" s="95">
        <v>11</v>
      </c>
      <c r="F683" s="95">
        <v>3</v>
      </c>
      <c r="G683" s="94" t="s">
        <v>269</v>
      </c>
      <c r="H683" s="167">
        <v>230</v>
      </c>
      <c r="I683" s="96">
        <v>0</v>
      </c>
      <c r="J683" s="94" t="s">
        <v>357</v>
      </c>
    </row>
    <row r="684" spans="1:10" hidden="1" x14ac:dyDescent="0.2">
      <c r="A684" s="94" t="s">
        <v>265</v>
      </c>
      <c r="B684" s="95">
        <v>2025</v>
      </c>
      <c r="C684" s="95">
        <v>122</v>
      </c>
      <c r="D684" s="94" t="s">
        <v>364</v>
      </c>
      <c r="E684" s="95">
        <v>11</v>
      </c>
      <c r="F684" s="95">
        <v>4</v>
      </c>
      <c r="G684" s="94" t="s">
        <v>270</v>
      </c>
      <c r="H684" s="167">
        <v>315</v>
      </c>
      <c r="I684" s="96">
        <v>0</v>
      </c>
      <c r="J684" s="94" t="s">
        <v>357</v>
      </c>
    </row>
    <row r="685" spans="1:10" hidden="1" x14ac:dyDescent="0.2">
      <c r="A685" s="94" t="s">
        <v>265</v>
      </c>
      <c r="B685" s="95">
        <v>2025</v>
      </c>
      <c r="C685" s="95">
        <v>122</v>
      </c>
      <c r="D685" s="94" t="s">
        <v>364</v>
      </c>
      <c r="E685" s="95">
        <v>11</v>
      </c>
      <c r="F685" s="95">
        <v>6</v>
      </c>
      <c r="G685" s="94" t="s">
        <v>271</v>
      </c>
      <c r="H685" s="167">
        <v>18676.5</v>
      </c>
      <c r="I685" s="96">
        <v>0</v>
      </c>
      <c r="J685" s="94" t="s">
        <v>357</v>
      </c>
    </row>
    <row r="686" spans="1:10" hidden="1" x14ac:dyDescent="0.2">
      <c r="A686" s="94" t="s">
        <v>265</v>
      </c>
      <c r="B686" s="95">
        <v>2025</v>
      </c>
      <c r="C686" s="95">
        <v>122</v>
      </c>
      <c r="D686" s="94" t="s">
        <v>364</v>
      </c>
      <c r="E686" s="95">
        <v>11</v>
      </c>
      <c r="F686" s="95">
        <v>24</v>
      </c>
      <c r="G686" s="94" t="s">
        <v>272</v>
      </c>
      <c r="H686" s="167">
        <v>1000</v>
      </c>
      <c r="I686" s="96">
        <v>0</v>
      </c>
      <c r="J686" s="94" t="s">
        <v>357</v>
      </c>
    </row>
    <row r="687" spans="1:10" hidden="1" x14ac:dyDescent="0.2">
      <c r="A687" s="94" t="s">
        <v>265</v>
      </c>
      <c r="B687" s="95">
        <v>2025</v>
      </c>
      <c r="C687" s="95">
        <v>122</v>
      </c>
      <c r="D687" s="94" t="s">
        <v>364</v>
      </c>
      <c r="E687" s="95">
        <v>11</v>
      </c>
      <c r="F687" s="95">
        <v>25</v>
      </c>
      <c r="G687" s="94" t="s">
        <v>273</v>
      </c>
      <c r="H687" s="167">
        <v>153.99</v>
      </c>
      <c r="I687" s="96">
        <v>0</v>
      </c>
      <c r="J687" s="94" t="s">
        <v>357</v>
      </c>
    </row>
    <row r="688" spans="1:10" hidden="1" x14ac:dyDescent="0.2">
      <c r="A688" s="94" t="s">
        <v>265</v>
      </c>
      <c r="B688" s="95">
        <v>2025</v>
      </c>
      <c r="C688" s="95">
        <v>122</v>
      </c>
      <c r="D688" s="94" t="s">
        <v>364</v>
      </c>
      <c r="E688" s="95">
        <v>11</v>
      </c>
      <c r="F688" s="95">
        <v>51</v>
      </c>
      <c r="G688" s="94" t="s">
        <v>274</v>
      </c>
      <c r="H688" s="167">
        <v>154</v>
      </c>
      <c r="I688" s="96">
        <v>0</v>
      </c>
      <c r="J688" s="94" t="s">
        <v>357</v>
      </c>
    </row>
    <row r="689" spans="1:10" hidden="1" x14ac:dyDescent="0.2">
      <c r="A689" s="94" t="s">
        <v>265</v>
      </c>
      <c r="B689" s="95">
        <v>2025</v>
      </c>
      <c r="C689" s="95">
        <v>122</v>
      </c>
      <c r="D689" s="94" t="s">
        <v>364</v>
      </c>
      <c r="E689" s="95">
        <v>11</v>
      </c>
      <c r="F689" s="95">
        <v>93</v>
      </c>
      <c r="G689" s="94" t="s">
        <v>275</v>
      </c>
      <c r="H689" s="167">
        <v>3066.67</v>
      </c>
      <c r="I689" s="96">
        <v>0</v>
      </c>
      <c r="J689" s="94" t="s">
        <v>357</v>
      </c>
    </row>
    <row r="690" spans="1:10" hidden="1" x14ac:dyDescent="0.2">
      <c r="A690" s="94" t="s">
        <v>265</v>
      </c>
      <c r="B690" s="95">
        <v>2025</v>
      </c>
      <c r="C690" s="95">
        <v>123</v>
      </c>
      <c r="D690" s="94" t="s">
        <v>365</v>
      </c>
      <c r="E690" s="95">
        <v>11</v>
      </c>
      <c r="F690" s="95">
        <v>1</v>
      </c>
      <c r="G690" s="94" t="s">
        <v>267</v>
      </c>
      <c r="H690" s="167">
        <v>6898.53</v>
      </c>
      <c r="I690" s="96">
        <v>0</v>
      </c>
      <c r="J690" s="94" t="s">
        <v>357</v>
      </c>
    </row>
    <row r="691" spans="1:10" hidden="1" x14ac:dyDescent="0.2">
      <c r="A691" s="94" t="s">
        <v>265</v>
      </c>
      <c r="B691" s="95">
        <v>2025</v>
      </c>
      <c r="C691" s="95">
        <v>123</v>
      </c>
      <c r="D691" s="94" t="s">
        <v>365</v>
      </c>
      <c r="E691" s="95">
        <v>11</v>
      </c>
      <c r="F691" s="95">
        <v>3</v>
      </c>
      <c r="G691" s="94" t="s">
        <v>269</v>
      </c>
      <c r="H691" s="167">
        <v>170.01</v>
      </c>
      <c r="I691" s="96">
        <v>0</v>
      </c>
      <c r="J691" s="94" t="s">
        <v>357</v>
      </c>
    </row>
    <row r="692" spans="1:10" hidden="1" x14ac:dyDescent="0.2">
      <c r="A692" s="94" t="s">
        <v>265</v>
      </c>
      <c r="B692" s="95">
        <v>2025</v>
      </c>
      <c r="C692" s="95">
        <v>123</v>
      </c>
      <c r="D692" s="94" t="s">
        <v>365</v>
      </c>
      <c r="E692" s="95">
        <v>11</v>
      </c>
      <c r="F692" s="95">
        <v>4</v>
      </c>
      <c r="G692" s="94" t="s">
        <v>270</v>
      </c>
      <c r="H692" s="167">
        <v>315</v>
      </c>
      <c r="I692" s="96">
        <v>0</v>
      </c>
      <c r="J692" s="94" t="s">
        <v>357</v>
      </c>
    </row>
    <row r="693" spans="1:10" hidden="1" x14ac:dyDescent="0.2">
      <c r="A693" s="94" t="s">
        <v>265</v>
      </c>
      <c r="B693" s="95">
        <v>2025</v>
      </c>
      <c r="C693" s="95">
        <v>123</v>
      </c>
      <c r="D693" s="94" t="s">
        <v>365</v>
      </c>
      <c r="E693" s="95">
        <v>11</v>
      </c>
      <c r="F693" s="95">
        <v>6</v>
      </c>
      <c r="G693" s="94" t="s">
        <v>271</v>
      </c>
      <c r="H693" s="167">
        <v>2956.51</v>
      </c>
      <c r="I693" s="96">
        <v>0</v>
      </c>
      <c r="J693" s="94" t="s">
        <v>357</v>
      </c>
    </row>
    <row r="694" spans="1:10" hidden="1" x14ac:dyDescent="0.2">
      <c r="A694" s="94" t="s">
        <v>265</v>
      </c>
      <c r="B694" s="95">
        <v>2025</v>
      </c>
      <c r="C694" s="95">
        <v>123</v>
      </c>
      <c r="D694" s="94" t="s">
        <v>365</v>
      </c>
      <c r="E694" s="95">
        <v>11</v>
      </c>
      <c r="F694" s="95">
        <v>24</v>
      </c>
      <c r="G694" s="94" t="s">
        <v>272</v>
      </c>
      <c r="H694" s="167">
        <v>699.59</v>
      </c>
      <c r="I694" s="96">
        <v>0</v>
      </c>
      <c r="J694" s="94" t="s">
        <v>357</v>
      </c>
    </row>
    <row r="695" spans="1:10" hidden="1" x14ac:dyDescent="0.2">
      <c r="A695" s="94" t="s">
        <v>265</v>
      </c>
      <c r="B695" s="95">
        <v>2025</v>
      </c>
      <c r="C695" s="95">
        <v>123</v>
      </c>
      <c r="D695" s="94" t="s">
        <v>365</v>
      </c>
      <c r="E695" s="95">
        <v>11</v>
      </c>
      <c r="F695" s="95">
        <v>25</v>
      </c>
      <c r="G695" s="94" t="s">
        <v>273</v>
      </c>
      <c r="H695" s="167">
        <v>72.239999999999995</v>
      </c>
      <c r="I695" s="96">
        <v>0</v>
      </c>
      <c r="J695" s="94" t="s">
        <v>357</v>
      </c>
    </row>
    <row r="696" spans="1:10" hidden="1" x14ac:dyDescent="0.2">
      <c r="A696" s="94" t="s">
        <v>265</v>
      </c>
      <c r="B696" s="95">
        <v>2025</v>
      </c>
      <c r="C696" s="95">
        <v>123</v>
      </c>
      <c r="D696" s="94" t="s">
        <v>365</v>
      </c>
      <c r="E696" s="95">
        <v>11</v>
      </c>
      <c r="F696" s="95">
        <v>51</v>
      </c>
      <c r="G696" s="94" t="s">
        <v>274</v>
      </c>
      <c r="H696" s="167">
        <v>154</v>
      </c>
      <c r="I696" s="96">
        <v>0</v>
      </c>
      <c r="J696" s="94" t="s">
        <v>357</v>
      </c>
    </row>
    <row r="697" spans="1:10" hidden="1" x14ac:dyDescent="0.2">
      <c r="A697" s="94" t="s">
        <v>265</v>
      </c>
      <c r="B697" s="95">
        <v>2025</v>
      </c>
      <c r="C697" s="95">
        <v>124</v>
      </c>
      <c r="D697" s="94" t="s">
        <v>366</v>
      </c>
      <c r="E697" s="95">
        <v>11</v>
      </c>
      <c r="F697" s="95">
        <v>1</v>
      </c>
      <c r="G697" s="94" t="s">
        <v>267</v>
      </c>
      <c r="H697" s="167">
        <v>31195.18</v>
      </c>
      <c r="I697" s="96">
        <v>0</v>
      </c>
      <c r="J697" s="94" t="s">
        <v>357</v>
      </c>
    </row>
    <row r="698" spans="1:10" hidden="1" x14ac:dyDescent="0.2">
      <c r="A698" s="94" t="s">
        <v>265</v>
      </c>
      <c r="B698" s="95">
        <v>2025</v>
      </c>
      <c r="C698" s="95">
        <v>124</v>
      </c>
      <c r="D698" s="94" t="s">
        <v>366</v>
      </c>
      <c r="E698" s="95">
        <v>11</v>
      </c>
      <c r="F698" s="95">
        <v>3</v>
      </c>
      <c r="G698" s="94" t="s">
        <v>269</v>
      </c>
      <c r="H698" s="167">
        <v>303.99</v>
      </c>
      <c r="I698" s="96">
        <v>0</v>
      </c>
      <c r="J698" s="94" t="s">
        <v>357</v>
      </c>
    </row>
    <row r="699" spans="1:10" hidden="1" x14ac:dyDescent="0.2">
      <c r="A699" s="94" t="s">
        <v>265</v>
      </c>
      <c r="B699" s="95">
        <v>2025</v>
      </c>
      <c r="C699" s="95">
        <v>124</v>
      </c>
      <c r="D699" s="94" t="s">
        <v>366</v>
      </c>
      <c r="E699" s="95">
        <v>11</v>
      </c>
      <c r="F699" s="95">
        <v>4</v>
      </c>
      <c r="G699" s="94" t="s">
        <v>270</v>
      </c>
      <c r="H699" s="167">
        <v>315</v>
      </c>
      <c r="I699" s="96">
        <v>0</v>
      </c>
      <c r="J699" s="94" t="s">
        <v>357</v>
      </c>
    </row>
    <row r="700" spans="1:10" hidden="1" x14ac:dyDescent="0.2">
      <c r="A700" s="94" t="s">
        <v>265</v>
      </c>
      <c r="B700" s="95">
        <v>2025</v>
      </c>
      <c r="C700" s="95">
        <v>124</v>
      </c>
      <c r="D700" s="94" t="s">
        <v>366</v>
      </c>
      <c r="E700" s="95">
        <v>11</v>
      </c>
      <c r="F700" s="95">
        <v>6</v>
      </c>
      <c r="G700" s="94" t="s">
        <v>271</v>
      </c>
      <c r="H700" s="167">
        <v>13369.36</v>
      </c>
      <c r="I700" s="96">
        <v>0</v>
      </c>
      <c r="J700" s="94" t="s">
        <v>357</v>
      </c>
    </row>
    <row r="701" spans="1:10" hidden="1" x14ac:dyDescent="0.2">
      <c r="A701" s="94" t="s">
        <v>265</v>
      </c>
      <c r="B701" s="95">
        <v>2025</v>
      </c>
      <c r="C701" s="95">
        <v>124</v>
      </c>
      <c r="D701" s="94" t="s">
        <v>366</v>
      </c>
      <c r="E701" s="95">
        <v>11</v>
      </c>
      <c r="F701" s="95">
        <v>14</v>
      </c>
      <c r="G701" s="94" t="s">
        <v>284</v>
      </c>
      <c r="H701" s="167">
        <v>3139</v>
      </c>
      <c r="I701" s="96">
        <v>0</v>
      </c>
      <c r="J701" s="94" t="s">
        <v>357</v>
      </c>
    </row>
    <row r="702" spans="1:10" hidden="1" x14ac:dyDescent="0.2">
      <c r="A702" s="94" t="s">
        <v>265</v>
      </c>
      <c r="B702" s="95">
        <v>2025</v>
      </c>
      <c r="C702" s="95">
        <v>124</v>
      </c>
      <c r="D702" s="94" t="s">
        <v>366</v>
      </c>
      <c r="E702" s="95">
        <v>11</v>
      </c>
      <c r="F702" s="95">
        <v>24</v>
      </c>
      <c r="G702" s="94" t="s">
        <v>272</v>
      </c>
      <c r="H702" s="167">
        <v>996.77</v>
      </c>
      <c r="I702" s="96">
        <v>0</v>
      </c>
      <c r="J702" s="94" t="s">
        <v>357</v>
      </c>
    </row>
    <row r="703" spans="1:10" hidden="1" x14ac:dyDescent="0.2">
      <c r="A703" s="94" t="s">
        <v>265</v>
      </c>
      <c r="B703" s="95">
        <v>2025</v>
      </c>
      <c r="C703" s="95">
        <v>124</v>
      </c>
      <c r="D703" s="94" t="s">
        <v>366</v>
      </c>
      <c r="E703" s="95">
        <v>11</v>
      </c>
      <c r="F703" s="95">
        <v>25</v>
      </c>
      <c r="G703" s="94" t="s">
        <v>273</v>
      </c>
      <c r="H703" s="167">
        <v>253.99</v>
      </c>
      <c r="I703" s="96">
        <v>0</v>
      </c>
      <c r="J703" s="94" t="s">
        <v>357</v>
      </c>
    </row>
    <row r="704" spans="1:10" hidden="1" x14ac:dyDescent="0.2">
      <c r="A704" s="94" t="s">
        <v>265</v>
      </c>
      <c r="B704" s="95">
        <v>2025</v>
      </c>
      <c r="C704" s="95">
        <v>124</v>
      </c>
      <c r="D704" s="94" t="s">
        <v>366</v>
      </c>
      <c r="E704" s="95">
        <v>11</v>
      </c>
      <c r="F704" s="95">
        <v>51</v>
      </c>
      <c r="G704" s="94" t="s">
        <v>274</v>
      </c>
      <c r="H704" s="167">
        <v>154</v>
      </c>
      <c r="I704" s="96">
        <v>0</v>
      </c>
      <c r="J704" s="94" t="s">
        <v>357</v>
      </c>
    </row>
    <row r="705" spans="1:10" hidden="1" x14ac:dyDescent="0.2">
      <c r="A705" s="94" t="s">
        <v>265</v>
      </c>
      <c r="B705" s="95">
        <v>2025</v>
      </c>
      <c r="C705" s="95">
        <v>124</v>
      </c>
      <c r="D705" s="94" t="s">
        <v>366</v>
      </c>
      <c r="E705" s="95">
        <v>11</v>
      </c>
      <c r="F705" s="95">
        <v>93</v>
      </c>
      <c r="G705" s="94" t="s">
        <v>275</v>
      </c>
      <c r="H705" s="167">
        <v>399.95</v>
      </c>
      <c r="I705" s="96">
        <v>0</v>
      </c>
      <c r="J705" s="94" t="s">
        <v>357</v>
      </c>
    </row>
    <row r="706" spans="1:10" hidden="1" x14ac:dyDescent="0.2">
      <c r="A706" s="94" t="s">
        <v>265</v>
      </c>
      <c r="B706" s="95">
        <v>2025</v>
      </c>
      <c r="C706" s="95">
        <v>125</v>
      </c>
      <c r="D706" s="94" t="s">
        <v>367</v>
      </c>
      <c r="E706" s="95">
        <v>11</v>
      </c>
      <c r="F706" s="95">
        <v>1</v>
      </c>
      <c r="G706" s="94" t="s">
        <v>267</v>
      </c>
      <c r="H706" s="167">
        <v>20851.080000000002</v>
      </c>
      <c r="I706" s="96">
        <v>0</v>
      </c>
      <c r="J706" s="94" t="s">
        <v>357</v>
      </c>
    </row>
    <row r="707" spans="1:10" hidden="1" x14ac:dyDescent="0.2">
      <c r="A707" s="94" t="s">
        <v>265</v>
      </c>
      <c r="B707" s="95">
        <v>2025</v>
      </c>
      <c r="C707" s="95">
        <v>125</v>
      </c>
      <c r="D707" s="94" t="s">
        <v>367</v>
      </c>
      <c r="E707" s="95">
        <v>11</v>
      </c>
      <c r="F707" s="95">
        <v>3</v>
      </c>
      <c r="G707" s="94" t="s">
        <v>269</v>
      </c>
      <c r="H707" s="167">
        <v>218.46</v>
      </c>
      <c r="I707" s="96">
        <v>0</v>
      </c>
      <c r="J707" s="94" t="s">
        <v>357</v>
      </c>
    </row>
    <row r="708" spans="1:10" hidden="1" x14ac:dyDescent="0.2">
      <c r="A708" s="94" t="s">
        <v>265</v>
      </c>
      <c r="B708" s="95">
        <v>2025</v>
      </c>
      <c r="C708" s="95">
        <v>125</v>
      </c>
      <c r="D708" s="94" t="s">
        <v>367</v>
      </c>
      <c r="E708" s="95">
        <v>11</v>
      </c>
      <c r="F708" s="95">
        <v>4</v>
      </c>
      <c r="G708" s="94" t="s">
        <v>270</v>
      </c>
      <c r="H708" s="167">
        <v>315</v>
      </c>
      <c r="I708" s="96">
        <v>0</v>
      </c>
      <c r="J708" s="94" t="s">
        <v>357</v>
      </c>
    </row>
    <row r="709" spans="1:10" hidden="1" x14ac:dyDescent="0.2">
      <c r="A709" s="94" t="s">
        <v>265</v>
      </c>
      <c r="B709" s="95">
        <v>2025</v>
      </c>
      <c r="C709" s="95">
        <v>125</v>
      </c>
      <c r="D709" s="94" t="s">
        <v>367</v>
      </c>
      <c r="E709" s="95">
        <v>11</v>
      </c>
      <c r="F709" s="95">
        <v>6</v>
      </c>
      <c r="G709" s="94" t="s">
        <v>271</v>
      </c>
      <c r="H709" s="167">
        <v>8936.18</v>
      </c>
      <c r="I709" s="96">
        <v>0</v>
      </c>
      <c r="J709" s="94" t="s">
        <v>357</v>
      </c>
    </row>
    <row r="710" spans="1:10" hidden="1" x14ac:dyDescent="0.2">
      <c r="A710" s="94" t="s">
        <v>265</v>
      </c>
      <c r="B710" s="95">
        <v>2025</v>
      </c>
      <c r="C710" s="95">
        <v>125</v>
      </c>
      <c r="D710" s="94" t="s">
        <v>367</v>
      </c>
      <c r="E710" s="95">
        <v>11</v>
      </c>
      <c r="F710" s="95">
        <v>24</v>
      </c>
      <c r="G710" s="94" t="s">
        <v>272</v>
      </c>
      <c r="H710" s="167">
        <v>807.37</v>
      </c>
      <c r="I710" s="96">
        <v>0</v>
      </c>
      <c r="J710" s="94" t="s">
        <v>357</v>
      </c>
    </row>
    <row r="711" spans="1:10" hidden="1" x14ac:dyDescent="0.2">
      <c r="A711" s="94" t="s">
        <v>265</v>
      </c>
      <c r="B711" s="95">
        <v>2025</v>
      </c>
      <c r="C711" s="95">
        <v>125</v>
      </c>
      <c r="D711" s="94" t="s">
        <v>367</v>
      </c>
      <c r="E711" s="95">
        <v>11</v>
      </c>
      <c r="F711" s="95">
        <v>25</v>
      </c>
      <c r="G711" s="94" t="s">
        <v>273</v>
      </c>
      <c r="H711" s="167">
        <v>136.78</v>
      </c>
      <c r="I711" s="96">
        <v>0</v>
      </c>
      <c r="J711" s="94" t="s">
        <v>357</v>
      </c>
    </row>
    <row r="712" spans="1:10" hidden="1" x14ac:dyDescent="0.2">
      <c r="A712" s="94" t="s">
        <v>265</v>
      </c>
      <c r="B712" s="95">
        <v>2025</v>
      </c>
      <c r="C712" s="95">
        <v>125</v>
      </c>
      <c r="D712" s="94" t="s">
        <v>367</v>
      </c>
      <c r="E712" s="95">
        <v>11</v>
      </c>
      <c r="F712" s="95">
        <v>51</v>
      </c>
      <c r="G712" s="94" t="s">
        <v>274</v>
      </c>
      <c r="H712" s="167">
        <v>154</v>
      </c>
      <c r="I712" s="96">
        <v>0</v>
      </c>
      <c r="J712" s="94" t="s">
        <v>357</v>
      </c>
    </row>
    <row r="713" spans="1:10" hidden="1" x14ac:dyDescent="0.2">
      <c r="A713" s="94" t="s">
        <v>265</v>
      </c>
      <c r="B713" s="95">
        <v>2025</v>
      </c>
      <c r="C713" s="95">
        <v>127</v>
      </c>
      <c r="D713" s="94" t="s">
        <v>368</v>
      </c>
      <c r="E713" s="95">
        <v>11</v>
      </c>
      <c r="F713" s="95">
        <v>1</v>
      </c>
      <c r="G713" s="94" t="s">
        <v>267</v>
      </c>
      <c r="H713" s="167">
        <v>9447.98</v>
      </c>
      <c r="I713" s="96">
        <v>0</v>
      </c>
      <c r="J713" s="94" t="s">
        <v>298</v>
      </c>
    </row>
    <row r="714" spans="1:10" hidden="1" x14ac:dyDescent="0.2">
      <c r="A714" s="94" t="s">
        <v>265</v>
      </c>
      <c r="B714" s="95">
        <v>2025</v>
      </c>
      <c r="C714" s="95">
        <v>127</v>
      </c>
      <c r="D714" s="94" t="s">
        <v>368</v>
      </c>
      <c r="E714" s="95">
        <v>11</v>
      </c>
      <c r="F714" s="95">
        <v>3</v>
      </c>
      <c r="G714" s="94" t="s">
        <v>269</v>
      </c>
      <c r="H714" s="167">
        <v>201.44</v>
      </c>
      <c r="I714" s="96">
        <v>0</v>
      </c>
      <c r="J714" s="94" t="s">
        <v>298</v>
      </c>
    </row>
    <row r="715" spans="1:10" hidden="1" x14ac:dyDescent="0.2">
      <c r="A715" s="94" t="s">
        <v>265</v>
      </c>
      <c r="B715" s="95">
        <v>2025</v>
      </c>
      <c r="C715" s="95">
        <v>127</v>
      </c>
      <c r="D715" s="94" t="s">
        <v>368</v>
      </c>
      <c r="E715" s="95">
        <v>11</v>
      </c>
      <c r="F715" s="95">
        <v>4</v>
      </c>
      <c r="G715" s="94" t="s">
        <v>270</v>
      </c>
      <c r="H715" s="167">
        <v>315</v>
      </c>
      <c r="I715" s="96">
        <v>0</v>
      </c>
      <c r="J715" s="94" t="s">
        <v>298</v>
      </c>
    </row>
    <row r="716" spans="1:10" hidden="1" x14ac:dyDescent="0.2">
      <c r="A716" s="94" t="s">
        <v>265</v>
      </c>
      <c r="B716" s="95">
        <v>2025</v>
      </c>
      <c r="C716" s="95">
        <v>127</v>
      </c>
      <c r="D716" s="94" t="s">
        <v>368</v>
      </c>
      <c r="E716" s="95">
        <v>11</v>
      </c>
      <c r="F716" s="95">
        <v>6</v>
      </c>
      <c r="G716" s="94" t="s">
        <v>271</v>
      </c>
      <c r="H716" s="167">
        <v>4049.14</v>
      </c>
      <c r="I716" s="96">
        <v>0</v>
      </c>
      <c r="J716" s="94" t="s">
        <v>298</v>
      </c>
    </row>
    <row r="717" spans="1:10" hidden="1" x14ac:dyDescent="0.2">
      <c r="A717" s="94" t="s">
        <v>265</v>
      </c>
      <c r="B717" s="95">
        <v>2025</v>
      </c>
      <c r="C717" s="95">
        <v>127</v>
      </c>
      <c r="D717" s="94" t="s">
        <v>368</v>
      </c>
      <c r="E717" s="95">
        <v>11</v>
      </c>
      <c r="F717" s="95">
        <v>24</v>
      </c>
      <c r="G717" s="94" t="s">
        <v>272</v>
      </c>
      <c r="H717" s="167">
        <v>995.9</v>
      </c>
      <c r="I717" s="96">
        <v>0</v>
      </c>
      <c r="J717" s="94" t="s">
        <v>298</v>
      </c>
    </row>
    <row r="718" spans="1:10" hidden="1" x14ac:dyDescent="0.2">
      <c r="A718" s="94" t="s">
        <v>265</v>
      </c>
      <c r="B718" s="95">
        <v>2025</v>
      </c>
      <c r="C718" s="95">
        <v>127</v>
      </c>
      <c r="D718" s="94" t="s">
        <v>368</v>
      </c>
      <c r="E718" s="95">
        <v>11</v>
      </c>
      <c r="F718" s="95">
        <v>25</v>
      </c>
      <c r="G718" s="94" t="s">
        <v>273</v>
      </c>
      <c r="H718" s="167">
        <v>117.01</v>
      </c>
      <c r="I718" s="96">
        <v>0</v>
      </c>
      <c r="J718" s="94" t="s">
        <v>298</v>
      </c>
    </row>
    <row r="719" spans="1:10" hidden="1" x14ac:dyDescent="0.2">
      <c r="A719" s="94" t="s">
        <v>265</v>
      </c>
      <c r="B719" s="95">
        <v>2025</v>
      </c>
      <c r="C719" s="95">
        <v>127</v>
      </c>
      <c r="D719" s="94" t="s">
        <v>368</v>
      </c>
      <c r="E719" s="95">
        <v>11</v>
      </c>
      <c r="F719" s="95">
        <v>51</v>
      </c>
      <c r="G719" s="94" t="s">
        <v>274</v>
      </c>
      <c r="H719" s="167">
        <v>154</v>
      </c>
      <c r="I719" s="96">
        <v>0</v>
      </c>
      <c r="J719" s="94" t="s">
        <v>298</v>
      </c>
    </row>
    <row r="720" spans="1:10" hidden="1" x14ac:dyDescent="0.2">
      <c r="A720" s="94" t="s">
        <v>265</v>
      </c>
      <c r="B720" s="95">
        <v>2025</v>
      </c>
      <c r="C720" s="95">
        <v>128</v>
      </c>
      <c r="D720" s="94" t="s">
        <v>369</v>
      </c>
      <c r="E720" s="95">
        <v>11</v>
      </c>
      <c r="F720" s="95">
        <v>1</v>
      </c>
      <c r="G720" s="94" t="s">
        <v>267</v>
      </c>
      <c r="H720" s="167">
        <v>40950</v>
      </c>
      <c r="I720" s="96">
        <v>0</v>
      </c>
      <c r="J720" s="94" t="s">
        <v>357</v>
      </c>
    </row>
    <row r="721" spans="1:10" hidden="1" x14ac:dyDescent="0.2">
      <c r="A721" s="94" t="s">
        <v>265</v>
      </c>
      <c r="B721" s="95">
        <v>2025</v>
      </c>
      <c r="C721" s="95">
        <v>128</v>
      </c>
      <c r="D721" s="94" t="s">
        <v>369</v>
      </c>
      <c r="E721" s="95">
        <v>11</v>
      </c>
      <c r="F721" s="95">
        <v>3</v>
      </c>
      <c r="G721" s="94" t="s">
        <v>269</v>
      </c>
      <c r="H721" s="167">
        <v>230</v>
      </c>
      <c r="I721" s="96">
        <v>0</v>
      </c>
      <c r="J721" s="94" t="s">
        <v>357</v>
      </c>
    </row>
    <row r="722" spans="1:10" hidden="1" x14ac:dyDescent="0.2">
      <c r="A722" s="94" t="s">
        <v>265</v>
      </c>
      <c r="B722" s="95">
        <v>2025</v>
      </c>
      <c r="C722" s="95">
        <v>128</v>
      </c>
      <c r="D722" s="94" t="s">
        <v>369</v>
      </c>
      <c r="E722" s="95">
        <v>11</v>
      </c>
      <c r="F722" s="95">
        <v>4</v>
      </c>
      <c r="G722" s="94" t="s">
        <v>270</v>
      </c>
      <c r="H722" s="167">
        <v>315</v>
      </c>
      <c r="I722" s="96">
        <v>0</v>
      </c>
      <c r="J722" s="94" t="s">
        <v>357</v>
      </c>
    </row>
    <row r="723" spans="1:10" hidden="1" x14ac:dyDescent="0.2">
      <c r="A723" s="94" t="s">
        <v>265</v>
      </c>
      <c r="B723" s="95">
        <v>2025</v>
      </c>
      <c r="C723" s="95">
        <v>128</v>
      </c>
      <c r="D723" s="94" t="s">
        <v>369</v>
      </c>
      <c r="E723" s="95">
        <v>11</v>
      </c>
      <c r="F723" s="95">
        <v>6</v>
      </c>
      <c r="G723" s="94" t="s">
        <v>271</v>
      </c>
      <c r="H723" s="167">
        <v>17550</v>
      </c>
      <c r="I723" s="96">
        <v>0</v>
      </c>
      <c r="J723" s="94" t="s">
        <v>357</v>
      </c>
    </row>
    <row r="724" spans="1:10" hidden="1" x14ac:dyDescent="0.2">
      <c r="A724" s="94" t="s">
        <v>265</v>
      </c>
      <c r="B724" s="95">
        <v>2025</v>
      </c>
      <c r="C724" s="95">
        <v>128</v>
      </c>
      <c r="D724" s="94" t="s">
        <v>369</v>
      </c>
      <c r="E724" s="95">
        <v>11</v>
      </c>
      <c r="F724" s="95">
        <v>24</v>
      </c>
      <c r="G724" s="94" t="s">
        <v>272</v>
      </c>
      <c r="H724" s="167">
        <v>999.49</v>
      </c>
      <c r="I724" s="96">
        <v>0</v>
      </c>
      <c r="J724" s="94" t="s">
        <v>357</v>
      </c>
    </row>
    <row r="725" spans="1:10" hidden="1" x14ac:dyDescent="0.2">
      <c r="A725" s="94" t="s">
        <v>265</v>
      </c>
      <c r="B725" s="95">
        <v>2025</v>
      </c>
      <c r="C725" s="95">
        <v>128</v>
      </c>
      <c r="D725" s="94" t="s">
        <v>369</v>
      </c>
      <c r="E725" s="95">
        <v>11</v>
      </c>
      <c r="F725" s="95">
        <v>25</v>
      </c>
      <c r="G725" s="94" t="s">
        <v>273</v>
      </c>
      <c r="H725" s="167">
        <v>154</v>
      </c>
      <c r="I725" s="96">
        <v>0</v>
      </c>
      <c r="J725" s="94" t="s">
        <v>357</v>
      </c>
    </row>
    <row r="726" spans="1:10" hidden="1" x14ac:dyDescent="0.2">
      <c r="A726" s="94" t="s">
        <v>265</v>
      </c>
      <c r="B726" s="95">
        <v>2025</v>
      </c>
      <c r="C726" s="95">
        <v>128</v>
      </c>
      <c r="D726" s="94" t="s">
        <v>369</v>
      </c>
      <c r="E726" s="95">
        <v>11</v>
      </c>
      <c r="F726" s="95">
        <v>51</v>
      </c>
      <c r="G726" s="94" t="s">
        <v>274</v>
      </c>
      <c r="H726" s="167">
        <v>154</v>
      </c>
      <c r="I726" s="96">
        <v>0</v>
      </c>
      <c r="J726" s="94" t="s">
        <v>357</v>
      </c>
    </row>
    <row r="727" spans="1:10" hidden="1" x14ac:dyDescent="0.2">
      <c r="A727" s="94" t="s">
        <v>265</v>
      </c>
      <c r="B727" s="95">
        <v>2025</v>
      </c>
      <c r="C727" s="95">
        <v>128</v>
      </c>
      <c r="D727" s="94" t="s">
        <v>369</v>
      </c>
      <c r="E727" s="95">
        <v>11</v>
      </c>
      <c r="F727" s="95">
        <v>93</v>
      </c>
      <c r="G727" s="94" t="s">
        <v>275</v>
      </c>
      <c r="H727" s="167">
        <v>2604.27</v>
      </c>
      <c r="I727" s="96">
        <v>0</v>
      </c>
      <c r="J727" s="94" t="s">
        <v>357</v>
      </c>
    </row>
    <row r="728" spans="1:10" hidden="1" x14ac:dyDescent="0.2">
      <c r="A728" s="94" t="s">
        <v>265</v>
      </c>
      <c r="B728" s="95">
        <v>2025</v>
      </c>
      <c r="C728" s="95">
        <v>129</v>
      </c>
      <c r="D728" s="94" t="s">
        <v>370</v>
      </c>
      <c r="E728" s="95">
        <v>11</v>
      </c>
      <c r="F728" s="95">
        <v>1</v>
      </c>
      <c r="G728" s="94" t="s">
        <v>267</v>
      </c>
      <c r="H728" s="167">
        <v>19467</v>
      </c>
      <c r="I728" s="96">
        <v>0</v>
      </c>
      <c r="J728" s="94" t="s">
        <v>298</v>
      </c>
    </row>
    <row r="729" spans="1:10" hidden="1" x14ac:dyDescent="0.2">
      <c r="A729" s="94" t="s">
        <v>265</v>
      </c>
      <c r="B729" s="95">
        <v>2025</v>
      </c>
      <c r="C729" s="95">
        <v>129</v>
      </c>
      <c r="D729" s="94" t="s">
        <v>370</v>
      </c>
      <c r="E729" s="95">
        <v>11</v>
      </c>
      <c r="F729" s="95">
        <v>3</v>
      </c>
      <c r="G729" s="94" t="s">
        <v>269</v>
      </c>
      <c r="H729" s="167">
        <v>216.93</v>
      </c>
      <c r="I729" s="96">
        <v>0</v>
      </c>
      <c r="J729" s="94" t="s">
        <v>298</v>
      </c>
    </row>
    <row r="730" spans="1:10" hidden="1" x14ac:dyDescent="0.2">
      <c r="A730" s="94" t="s">
        <v>265</v>
      </c>
      <c r="B730" s="95">
        <v>2025</v>
      </c>
      <c r="C730" s="95">
        <v>129</v>
      </c>
      <c r="D730" s="94" t="s">
        <v>370</v>
      </c>
      <c r="E730" s="95">
        <v>11</v>
      </c>
      <c r="F730" s="95">
        <v>4</v>
      </c>
      <c r="G730" s="94" t="s">
        <v>270</v>
      </c>
      <c r="H730" s="167">
        <v>315</v>
      </c>
      <c r="I730" s="96">
        <v>0</v>
      </c>
      <c r="J730" s="94" t="s">
        <v>298</v>
      </c>
    </row>
    <row r="731" spans="1:10" hidden="1" x14ac:dyDescent="0.2">
      <c r="A731" s="94" t="s">
        <v>265</v>
      </c>
      <c r="B731" s="95">
        <v>2025</v>
      </c>
      <c r="C731" s="95">
        <v>129</v>
      </c>
      <c r="D731" s="94" t="s">
        <v>370</v>
      </c>
      <c r="E731" s="95">
        <v>11</v>
      </c>
      <c r="F731" s="95">
        <v>6</v>
      </c>
      <c r="G731" s="94" t="s">
        <v>271</v>
      </c>
      <c r="H731" s="167">
        <v>8343</v>
      </c>
      <c r="I731" s="96">
        <v>0</v>
      </c>
      <c r="J731" s="94" t="s">
        <v>298</v>
      </c>
    </row>
    <row r="732" spans="1:10" hidden="1" x14ac:dyDescent="0.2">
      <c r="A732" s="94" t="s">
        <v>265</v>
      </c>
      <c r="B732" s="95">
        <v>2025</v>
      </c>
      <c r="C732" s="95">
        <v>129</v>
      </c>
      <c r="D732" s="94" t="s">
        <v>370</v>
      </c>
      <c r="E732" s="95">
        <v>11</v>
      </c>
      <c r="F732" s="95">
        <v>24</v>
      </c>
      <c r="G732" s="94" t="s">
        <v>272</v>
      </c>
      <c r="H732" s="167">
        <v>999.34</v>
      </c>
      <c r="I732" s="96">
        <v>0</v>
      </c>
      <c r="J732" s="94" t="s">
        <v>298</v>
      </c>
    </row>
    <row r="733" spans="1:10" hidden="1" x14ac:dyDescent="0.2">
      <c r="A733" s="94" t="s">
        <v>265</v>
      </c>
      <c r="B733" s="95">
        <v>2025</v>
      </c>
      <c r="C733" s="95">
        <v>129</v>
      </c>
      <c r="D733" s="94" t="s">
        <v>370</v>
      </c>
      <c r="E733" s="95">
        <v>11</v>
      </c>
      <c r="F733" s="95">
        <v>25</v>
      </c>
      <c r="G733" s="94" t="s">
        <v>273</v>
      </c>
      <c r="H733" s="167">
        <v>136.75</v>
      </c>
      <c r="I733" s="96">
        <v>0</v>
      </c>
      <c r="J733" s="94" t="s">
        <v>298</v>
      </c>
    </row>
    <row r="734" spans="1:10" hidden="1" x14ac:dyDescent="0.2">
      <c r="A734" s="94" t="s">
        <v>265</v>
      </c>
      <c r="B734" s="95">
        <v>2025</v>
      </c>
      <c r="C734" s="95">
        <v>129</v>
      </c>
      <c r="D734" s="94" t="s">
        <v>370</v>
      </c>
      <c r="E734" s="95">
        <v>11</v>
      </c>
      <c r="F734" s="95">
        <v>51</v>
      </c>
      <c r="G734" s="94" t="s">
        <v>274</v>
      </c>
      <c r="H734" s="167">
        <v>154</v>
      </c>
      <c r="I734" s="96">
        <v>0</v>
      </c>
      <c r="J734" s="94" t="s">
        <v>298</v>
      </c>
    </row>
    <row r="735" spans="1:10" hidden="1" x14ac:dyDescent="0.2">
      <c r="A735" s="94" t="s">
        <v>265</v>
      </c>
      <c r="B735" s="95">
        <v>2025</v>
      </c>
      <c r="C735" s="95">
        <v>130</v>
      </c>
      <c r="D735" s="94" t="s">
        <v>371</v>
      </c>
      <c r="E735" s="95">
        <v>11</v>
      </c>
      <c r="F735" s="95">
        <v>1</v>
      </c>
      <c r="G735" s="94" t="s">
        <v>267</v>
      </c>
      <c r="H735" s="167">
        <v>32666.67</v>
      </c>
      <c r="I735" s="96">
        <v>0</v>
      </c>
      <c r="J735" s="94" t="s">
        <v>357</v>
      </c>
    </row>
    <row r="736" spans="1:10" hidden="1" x14ac:dyDescent="0.2">
      <c r="A736" s="94" t="s">
        <v>265</v>
      </c>
      <c r="B736" s="95">
        <v>2025</v>
      </c>
      <c r="C736" s="95">
        <v>130</v>
      </c>
      <c r="D736" s="94" t="s">
        <v>371</v>
      </c>
      <c r="E736" s="95">
        <v>11</v>
      </c>
      <c r="F736" s="95">
        <v>3</v>
      </c>
      <c r="G736" s="94" t="s">
        <v>269</v>
      </c>
      <c r="H736" s="167">
        <v>281.14</v>
      </c>
      <c r="I736" s="96">
        <v>0</v>
      </c>
      <c r="J736" s="94" t="s">
        <v>357</v>
      </c>
    </row>
    <row r="737" spans="1:10" hidden="1" x14ac:dyDescent="0.2">
      <c r="A737" s="94" t="s">
        <v>265</v>
      </c>
      <c r="B737" s="95">
        <v>2025</v>
      </c>
      <c r="C737" s="95">
        <v>130</v>
      </c>
      <c r="D737" s="94" t="s">
        <v>371</v>
      </c>
      <c r="E737" s="95">
        <v>11</v>
      </c>
      <c r="F737" s="95">
        <v>4</v>
      </c>
      <c r="G737" s="94" t="s">
        <v>270</v>
      </c>
      <c r="H737" s="167">
        <v>315</v>
      </c>
      <c r="I737" s="96">
        <v>0</v>
      </c>
      <c r="J737" s="94" t="s">
        <v>357</v>
      </c>
    </row>
    <row r="738" spans="1:10" hidden="1" x14ac:dyDescent="0.2">
      <c r="A738" s="94" t="s">
        <v>265</v>
      </c>
      <c r="B738" s="95">
        <v>2025</v>
      </c>
      <c r="C738" s="95">
        <v>130</v>
      </c>
      <c r="D738" s="94" t="s">
        <v>371</v>
      </c>
      <c r="E738" s="95">
        <v>11</v>
      </c>
      <c r="F738" s="95">
        <v>6</v>
      </c>
      <c r="G738" s="94" t="s">
        <v>271</v>
      </c>
      <c r="H738" s="167">
        <v>14000</v>
      </c>
      <c r="I738" s="96">
        <v>0</v>
      </c>
      <c r="J738" s="94" t="s">
        <v>357</v>
      </c>
    </row>
    <row r="739" spans="1:10" hidden="1" x14ac:dyDescent="0.2">
      <c r="A739" s="94" t="s">
        <v>265</v>
      </c>
      <c r="B739" s="95">
        <v>2025</v>
      </c>
      <c r="C739" s="95">
        <v>130</v>
      </c>
      <c r="D739" s="94" t="s">
        <v>371</v>
      </c>
      <c r="E739" s="95">
        <v>11</v>
      </c>
      <c r="F739" s="95">
        <v>24</v>
      </c>
      <c r="G739" s="94" t="s">
        <v>272</v>
      </c>
      <c r="H739" s="167">
        <v>1000</v>
      </c>
      <c r="I739" s="96">
        <v>0</v>
      </c>
      <c r="J739" s="94" t="s">
        <v>357</v>
      </c>
    </row>
    <row r="740" spans="1:10" hidden="1" x14ac:dyDescent="0.2">
      <c r="A740" s="94" t="s">
        <v>265</v>
      </c>
      <c r="B740" s="95">
        <v>2025</v>
      </c>
      <c r="C740" s="95">
        <v>130</v>
      </c>
      <c r="D740" s="94" t="s">
        <v>371</v>
      </c>
      <c r="E740" s="95">
        <v>11</v>
      </c>
      <c r="F740" s="95">
        <v>25</v>
      </c>
      <c r="G740" s="94" t="s">
        <v>273</v>
      </c>
      <c r="H740" s="167">
        <v>223.39</v>
      </c>
      <c r="I740" s="96">
        <v>0</v>
      </c>
      <c r="J740" s="94" t="s">
        <v>357</v>
      </c>
    </row>
    <row r="741" spans="1:10" hidden="1" x14ac:dyDescent="0.2">
      <c r="A741" s="94" t="s">
        <v>265</v>
      </c>
      <c r="B741" s="95">
        <v>2025</v>
      </c>
      <c r="C741" s="95">
        <v>130</v>
      </c>
      <c r="D741" s="94" t="s">
        <v>371</v>
      </c>
      <c r="E741" s="95">
        <v>11</v>
      </c>
      <c r="F741" s="95">
        <v>51</v>
      </c>
      <c r="G741" s="94" t="s">
        <v>274</v>
      </c>
      <c r="H741" s="167">
        <v>154</v>
      </c>
      <c r="I741" s="96">
        <v>0</v>
      </c>
      <c r="J741" s="94" t="s">
        <v>357</v>
      </c>
    </row>
    <row r="742" spans="1:10" hidden="1" x14ac:dyDescent="0.2">
      <c r="A742" s="94" t="s">
        <v>265</v>
      </c>
      <c r="B742" s="95">
        <v>2025</v>
      </c>
      <c r="C742" s="95">
        <v>130</v>
      </c>
      <c r="D742" s="94" t="s">
        <v>371</v>
      </c>
      <c r="E742" s="95">
        <v>11</v>
      </c>
      <c r="F742" s="95">
        <v>93</v>
      </c>
      <c r="G742" s="94" t="s">
        <v>275</v>
      </c>
      <c r="H742" s="167">
        <v>748.91</v>
      </c>
      <c r="I742" s="96">
        <v>0</v>
      </c>
      <c r="J742" s="94" t="s">
        <v>357</v>
      </c>
    </row>
    <row r="743" spans="1:10" hidden="1" x14ac:dyDescent="0.2">
      <c r="A743" s="94" t="s">
        <v>265</v>
      </c>
      <c r="B743" s="95">
        <v>2025</v>
      </c>
      <c r="C743" s="95">
        <v>132</v>
      </c>
      <c r="D743" s="94" t="s">
        <v>372</v>
      </c>
      <c r="E743" s="95">
        <v>11</v>
      </c>
      <c r="F743" s="95">
        <v>1</v>
      </c>
      <c r="G743" s="94" t="s">
        <v>267</v>
      </c>
      <c r="H743" s="167">
        <v>34650</v>
      </c>
      <c r="I743" s="96">
        <v>0</v>
      </c>
      <c r="J743" s="94" t="s">
        <v>268</v>
      </c>
    </row>
    <row r="744" spans="1:10" hidden="1" x14ac:dyDescent="0.2">
      <c r="A744" s="94" t="s">
        <v>265</v>
      </c>
      <c r="B744" s="95">
        <v>2025</v>
      </c>
      <c r="C744" s="95">
        <v>132</v>
      </c>
      <c r="D744" s="94" t="s">
        <v>372</v>
      </c>
      <c r="E744" s="95">
        <v>11</v>
      </c>
      <c r="F744" s="95">
        <v>3</v>
      </c>
      <c r="G744" s="94" t="s">
        <v>269</v>
      </c>
      <c r="H744" s="167">
        <v>216.99</v>
      </c>
      <c r="I744" s="96">
        <v>0</v>
      </c>
      <c r="J744" s="94" t="s">
        <v>268</v>
      </c>
    </row>
    <row r="745" spans="1:10" hidden="1" x14ac:dyDescent="0.2">
      <c r="A745" s="94" t="s">
        <v>265</v>
      </c>
      <c r="B745" s="95">
        <v>2025</v>
      </c>
      <c r="C745" s="95">
        <v>132</v>
      </c>
      <c r="D745" s="94" t="s">
        <v>372</v>
      </c>
      <c r="E745" s="95">
        <v>11</v>
      </c>
      <c r="F745" s="95">
        <v>4</v>
      </c>
      <c r="G745" s="94" t="s">
        <v>270</v>
      </c>
      <c r="H745" s="167">
        <v>315</v>
      </c>
      <c r="I745" s="96">
        <v>0</v>
      </c>
      <c r="J745" s="94" t="s">
        <v>268</v>
      </c>
    </row>
    <row r="746" spans="1:10" hidden="1" x14ac:dyDescent="0.2">
      <c r="A746" s="94" t="s">
        <v>265</v>
      </c>
      <c r="B746" s="95">
        <v>2025</v>
      </c>
      <c r="C746" s="95">
        <v>132</v>
      </c>
      <c r="D746" s="94" t="s">
        <v>372</v>
      </c>
      <c r="E746" s="95">
        <v>11</v>
      </c>
      <c r="F746" s="95">
        <v>6</v>
      </c>
      <c r="G746" s="94" t="s">
        <v>271</v>
      </c>
      <c r="H746" s="167">
        <v>14850</v>
      </c>
      <c r="I746" s="96">
        <v>0</v>
      </c>
      <c r="J746" s="94" t="s">
        <v>268</v>
      </c>
    </row>
    <row r="747" spans="1:10" hidden="1" x14ac:dyDescent="0.2">
      <c r="A747" s="94" t="s">
        <v>265</v>
      </c>
      <c r="B747" s="95">
        <v>2025</v>
      </c>
      <c r="C747" s="95">
        <v>132</v>
      </c>
      <c r="D747" s="94" t="s">
        <v>372</v>
      </c>
      <c r="E747" s="95">
        <v>11</v>
      </c>
      <c r="F747" s="95">
        <v>24</v>
      </c>
      <c r="G747" s="94" t="s">
        <v>272</v>
      </c>
      <c r="H747" s="167">
        <v>1000</v>
      </c>
      <c r="I747" s="96">
        <v>0</v>
      </c>
      <c r="J747" s="94" t="s">
        <v>268</v>
      </c>
    </row>
    <row r="748" spans="1:10" hidden="1" x14ac:dyDescent="0.2">
      <c r="A748" s="94" t="s">
        <v>265</v>
      </c>
      <c r="B748" s="95">
        <v>2025</v>
      </c>
      <c r="C748" s="95">
        <v>132</v>
      </c>
      <c r="D748" s="94" t="s">
        <v>372</v>
      </c>
      <c r="E748" s="95">
        <v>11</v>
      </c>
      <c r="F748" s="95">
        <v>25</v>
      </c>
      <c r="G748" s="94" t="s">
        <v>273</v>
      </c>
      <c r="H748" s="167">
        <v>136.56</v>
      </c>
      <c r="I748" s="96">
        <v>0</v>
      </c>
      <c r="J748" s="94" t="s">
        <v>268</v>
      </c>
    </row>
    <row r="749" spans="1:10" hidden="1" x14ac:dyDescent="0.2">
      <c r="A749" s="94" t="s">
        <v>265</v>
      </c>
      <c r="B749" s="95">
        <v>2025</v>
      </c>
      <c r="C749" s="95">
        <v>132</v>
      </c>
      <c r="D749" s="94" t="s">
        <v>372</v>
      </c>
      <c r="E749" s="95">
        <v>11</v>
      </c>
      <c r="F749" s="95">
        <v>51</v>
      </c>
      <c r="G749" s="94" t="s">
        <v>274</v>
      </c>
      <c r="H749" s="167">
        <v>154</v>
      </c>
      <c r="I749" s="96">
        <v>0</v>
      </c>
      <c r="J749" s="94" t="s">
        <v>268</v>
      </c>
    </row>
    <row r="750" spans="1:10" hidden="1" x14ac:dyDescent="0.2">
      <c r="A750" s="94" t="s">
        <v>265</v>
      </c>
      <c r="B750" s="95">
        <v>2025</v>
      </c>
      <c r="C750" s="95">
        <v>132</v>
      </c>
      <c r="D750" s="94" t="s">
        <v>372</v>
      </c>
      <c r="E750" s="95">
        <v>11</v>
      </c>
      <c r="F750" s="95">
        <v>93</v>
      </c>
      <c r="G750" s="94" t="s">
        <v>275</v>
      </c>
      <c r="H750" s="167">
        <v>1086.6500000000001</v>
      </c>
      <c r="I750" s="96">
        <v>0</v>
      </c>
      <c r="J750" s="94" t="s">
        <v>268</v>
      </c>
    </row>
    <row r="751" spans="1:10" hidden="1" x14ac:dyDescent="0.2">
      <c r="A751" s="94" t="s">
        <v>265</v>
      </c>
      <c r="B751" s="95">
        <v>2025</v>
      </c>
      <c r="C751" s="95">
        <v>133</v>
      </c>
      <c r="D751" s="94" t="s">
        <v>373</v>
      </c>
      <c r="E751" s="95">
        <v>11</v>
      </c>
      <c r="F751" s="95">
        <v>1</v>
      </c>
      <c r="G751" s="94" t="s">
        <v>267</v>
      </c>
      <c r="H751" s="167">
        <v>15750</v>
      </c>
      <c r="I751" s="96">
        <v>0</v>
      </c>
      <c r="J751" s="94" t="s">
        <v>298</v>
      </c>
    </row>
    <row r="752" spans="1:10" hidden="1" x14ac:dyDescent="0.2">
      <c r="A752" s="94" t="s">
        <v>265</v>
      </c>
      <c r="B752" s="95">
        <v>2025</v>
      </c>
      <c r="C752" s="95">
        <v>133</v>
      </c>
      <c r="D752" s="94" t="s">
        <v>373</v>
      </c>
      <c r="E752" s="95">
        <v>11</v>
      </c>
      <c r="F752" s="95">
        <v>3</v>
      </c>
      <c r="G752" s="94" t="s">
        <v>269</v>
      </c>
      <c r="H752" s="167">
        <v>216.92</v>
      </c>
      <c r="I752" s="96">
        <v>0</v>
      </c>
      <c r="J752" s="94" t="s">
        <v>298</v>
      </c>
    </row>
    <row r="753" spans="1:10" hidden="1" x14ac:dyDescent="0.2">
      <c r="A753" s="94" t="s">
        <v>265</v>
      </c>
      <c r="B753" s="95">
        <v>2025</v>
      </c>
      <c r="C753" s="95">
        <v>133</v>
      </c>
      <c r="D753" s="94" t="s">
        <v>373</v>
      </c>
      <c r="E753" s="95">
        <v>11</v>
      </c>
      <c r="F753" s="95">
        <v>4</v>
      </c>
      <c r="G753" s="94" t="s">
        <v>270</v>
      </c>
      <c r="H753" s="167">
        <v>315</v>
      </c>
      <c r="I753" s="96">
        <v>0</v>
      </c>
      <c r="J753" s="94" t="s">
        <v>298</v>
      </c>
    </row>
    <row r="754" spans="1:10" hidden="1" x14ac:dyDescent="0.2">
      <c r="A754" s="94" t="s">
        <v>265</v>
      </c>
      <c r="B754" s="95">
        <v>2025</v>
      </c>
      <c r="C754" s="95">
        <v>133</v>
      </c>
      <c r="D754" s="94" t="s">
        <v>373</v>
      </c>
      <c r="E754" s="95">
        <v>11</v>
      </c>
      <c r="F754" s="95">
        <v>6</v>
      </c>
      <c r="G754" s="94" t="s">
        <v>271</v>
      </c>
      <c r="H754" s="167">
        <v>6750</v>
      </c>
      <c r="I754" s="96">
        <v>0</v>
      </c>
      <c r="J754" s="94" t="s">
        <v>298</v>
      </c>
    </row>
    <row r="755" spans="1:10" hidden="1" x14ac:dyDescent="0.2">
      <c r="A755" s="94" t="s">
        <v>265</v>
      </c>
      <c r="B755" s="95">
        <v>2025</v>
      </c>
      <c r="C755" s="95">
        <v>133</v>
      </c>
      <c r="D755" s="94" t="s">
        <v>373</v>
      </c>
      <c r="E755" s="95">
        <v>11</v>
      </c>
      <c r="F755" s="95">
        <v>24</v>
      </c>
      <c r="G755" s="94" t="s">
        <v>272</v>
      </c>
      <c r="H755" s="167">
        <v>1000</v>
      </c>
      <c r="I755" s="96">
        <v>0</v>
      </c>
      <c r="J755" s="94" t="s">
        <v>298</v>
      </c>
    </row>
    <row r="756" spans="1:10" hidden="1" x14ac:dyDescent="0.2">
      <c r="A756" s="94" t="s">
        <v>265</v>
      </c>
      <c r="B756" s="95">
        <v>2025</v>
      </c>
      <c r="C756" s="95">
        <v>133</v>
      </c>
      <c r="D756" s="94" t="s">
        <v>373</v>
      </c>
      <c r="E756" s="95">
        <v>11</v>
      </c>
      <c r="F756" s="95">
        <v>25</v>
      </c>
      <c r="G756" s="94" t="s">
        <v>273</v>
      </c>
      <c r="H756" s="167">
        <v>138.32</v>
      </c>
      <c r="I756" s="96">
        <v>0</v>
      </c>
      <c r="J756" s="94" t="s">
        <v>298</v>
      </c>
    </row>
    <row r="757" spans="1:10" hidden="1" x14ac:dyDescent="0.2">
      <c r="A757" s="94" t="s">
        <v>265</v>
      </c>
      <c r="B757" s="95">
        <v>2025</v>
      </c>
      <c r="C757" s="95">
        <v>133</v>
      </c>
      <c r="D757" s="94" t="s">
        <v>373</v>
      </c>
      <c r="E757" s="95">
        <v>11</v>
      </c>
      <c r="F757" s="95">
        <v>51</v>
      </c>
      <c r="G757" s="94" t="s">
        <v>274</v>
      </c>
      <c r="H757" s="167">
        <v>154</v>
      </c>
      <c r="I757" s="96">
        <v>0</v>
      </c>
      <c r="J757" s="94" t="s">
        <v>298</v>
      </c>
    </row>
    <row r="758" spans="1:10" hidden="1" x14ac:dyDescent="0.2">
      <c r="A758" s="94" t="s">
        <v>265</v>
      </c>
      <c r="B758" s="95">
        <v>2025</v>
      </c>
      <c r="C758" s="95">
        <v>134</v>
      </c>
      <c r="D758" s="94" t="s">
        <v>374</v>
      </c>
      <c r="E758" s="95">
        <v>11</v>
      </c>
      <c r="F758" s="95">
        <v>1</v>
      </c>
      <c r="G758" s="94" t="s">
        <v>267</v>
      </c>
      <c r="H758" s="167">
        <v>32130</v>
      </c>
      <c r="I758" s="96">
        <v>0</v>
      </c>
      <c r="J758" s="94" t="s">
        <v>268</v>
      </c>
    </row>
    <row r="759" spans="1:10" hidden="1" x14ac:dyDescent="0.2">
      <c r="A759" s="94" t="s">
        <v>265</v>
      </c>
      <c r="B759" s="95">
        <v>2025</v>
      </c>
      <c r="C759" s="95">
        <v>134</v>
      </c>
      <c r="D759" s="94" t="s">
        <v>374</v>
      </c>
      <c r="E759" s="95">
        <v>11</v>
      </c>
      <c r="F759" s="95">
        <v>3</v>
      </c>
      <c r="G759" s="94" t="s">
        <v>269</v>
      </c>
      <c r="H759" s="167">
        <v>283.02</v>
      </c>
      <c r="I759" s="96">
        <v>0</v>
      </c>
      <c r="J759" s="94" t="s">
        <v>268</v>
      </c>
    </row>
    <row r="760" spans="1:10" hidden="1" x14ac:dyDescent="0.2">
      <c r="A760" s="94" t="s">
        <v>265</v>
      </c>
      <c r="B760" s="95">
        <v>2025</v>
      </c>
      <c r="C760" s="95">
        <v>134</v>
      </c>
      <c r="D760" s="94" t="s">
        <v>374</v>
      </c>
      <c r="E760" s="95">
        <v>11</v>
      </c>
      <c r="F760" s="95">
        <v>4</v>
      </c>
      <c r="G760" s="94" t="s">
        <v>270</v>
      </c>
      <c r="H760" s="167">
        <v>315</v>
      </c>
      <c r="I760" s="96">
        <v>0</v>
      </c>
      <c r="J760" s="94" t="s">
        <v>268</v>
      </c>
    </row>
    <row r="761" spans="1:10" hidden="1" x14ac:dyDescent="0.2">
      <c r="A761" s="94" t="s">
        <v>265</v>
      </c>
      <c r="B761" s="95">
        <v>2025</v>
      </c>
      <c r="C761" s="95">
        <v>134</v>
      </c>
      <c r="D761" s="94" t="s">
        <v>374</v>
      </c>
      <c r="E761" s="95">
        <v>11</v>
      </c>
      <c r="F761" s="95">
        <v>6</v>
      </c>
      <c r="G761" s="94" t="s">
        <v>271</v>
      </c>
      <c r="H761" s="167">
        <v>13770</v>
      </c>
      <c r="I761" s="96">
        <v>0</v>
      </c>
      <c r="J761" s="94" t="s">
        <v>268</v>
      </c>
    </row>
    <row r="762" spans="1:10" hidden="1" x14ac:dyDescent="0.2">
      <c r="A762" s="94" t="s">
        <v>265</v>
      </c>
      <c r="B762" s="95">
        <v>2025</v>
      </c>
      <c r="C762" s="95">
        <v>134</v>
      </c>
      <c r="D762" s="94" t="s">
        <v>374</v>
      </c>
      <c r="E762" s="95">
        <v>11</v>
      </c>
      <c r="F762" s="95">
        <v>24</v>
      </c>
      <c r="G762" s="94" t="s">
        <v>272</v>
      </c>
      <c r="H762" s="167">
        <v>879.31</v>
      </c>
      <c r="I762" s="96">
        <v>0</v>
      </c>
      <c r="J762" s="94" t="s">
        <v>268</v>
      </c>
    </row>
    <row r="763" spans="1:10" hidden="1" x14ac:dyDescent="0.2">
      <c r="A763" s="94" t="s">
        <v>265</v>
      </c>
      <c r="B763" s="95">
        <v>2025</v>
      </c>
      <c r="C763" s="95">
        <v>134</v>
      </c>
      <c r="D763" s="94" t="s">
        <v>374</v>
      </c>
      <c r="E763" s="95">
        <v>11</v>
      </c>
      <c r="F763" s="95">
        <v>25</v>
      </c>
      <c r="G763" s="94" t="s">
        <v>273</v>
      </c>
      <c r="H763" s="167">
        <v>223.33</v>
      </c>
      <c r="I763" s="96">
        <v>0</v>
      </c>
      <c r="J763" s="94" t="s">
        <v>268</v>
      </c>
    </row>
    <row r="764" spans="1:10" hidden="1" x14ac:dyDescent="0.2">
      <c r="A764" s="94" t="s">
        <v>265</v>
      </c>
      <c r="B764" s="95">
        <v>2025</v>
      </c>
      <c r="C764" s="95">
        <v>134</v>
      </c>
      <c r="D764" s="94" t="s">
        <v>374</v>
      </c>
      <c r="E764" s="95">
        <v>11</v>
      </c>
      <c r="F764" s="95">
        <v>51</v>
      </c>
      <c r="G764" s="94" t="s">
        <v>274</v>
      </c>
      <c r="H764" s="167">
        <v>154</v>
      </c>
      <c r="I764" s="96">
        <v>0</v>
      </c>
      <c r="J764" s="94" t="s">
        <v>268</v>
      </c>
    </row>
    <row r="765" spans="1:10" hidden="1" x14ac:dyDescent="0.2">
      <c r="A765" s="94" t="s">
        <v>265</v>
      </c>
      <c r="B765" s="95">
        <v>2025</v>
      </c>
      <c r="C765" s="95">
        <v>134</v>
      </c>
      <c r="D765" s="94" t="s">
        <v>374</v>
      </c>
      <c r="E765" s="95">
        <v>11</v>
      </c>
      <c r="F765" s="95">
        <v>93</v>
      </c>
      <c r="G765" s="94" t="s">
        <v>275</v>
      </c>
      <c r="H765" s="167">
        <v>864.72</v>
      </c>
      <c r="I765" s="96">
        <v>0</v>
      </c>
      <c r="J765" s="94" t="s">
        <v>268</v>
      </c>
    </row>
    <row r="766" spans="1:10" hidden="1" x14ac:dyDescent="0.2">
      <c r="A766" s="94" t="s">
        <v>265</v>
      </c>
      <c r="B766" s="95">
        <v>2025</v>
      </c>
      <c r="C766" s="95">
        <v>135</v>
      </c>
      <c r="D766" s="94" t="s">
        <v>375</v>
      </c>
      <c r="E766" s="95">
        <v>11</v>
      </c>
      <c r="F766" s="95">
        <v>1</v>
      </c>
      <c r="G766" s="94" t="s">
        <v>267</v>
      </c>
      <c r="H766" s="167">
        <v>39375</v>
      </c>
      <c r="I766" s="96">
        <v>0</v>
      </c>
      <c r="J766" s="94" t="s">
        <v>268</v>
      </c>
    </row>
    <row r="767" spans="1:10" hidden="1" x14ac:dyDescent="0.2">
      <c r="A767" s="94" t="s">
        <v>265</v>
      </c>
      <c r="B767" s="95">
        <v>2025</v>
      </c>
      <c r="C767" s="95">
        <v>135</v>
      </c>
      <c r="D767" s="94" t="s">
        <v>375</v>
      </c>
      <c r="E767" s="95">
        <v>11</v>
      </c>
      <c r="F767" s="95">
        <v>3</v>
      </c>
      <c r="G767" s="94" t="s">
        <v>269</v>
      </c>
      <c r="H767" s="167">
        <v>230</v>
      </c>
      <c r="I767" s="96">
        <v>0</v>
      </c>
      <c r="J767" s="94" t="s">
        <v>268</v>
      </c>
    </row>
    <row r="768" spans="1:10" hidden="1" x14ac:dyDescent="0.2">
      <c r="A768" s="94" t="s">
        <v>265</v>
      </c>
      <c r="B768" s="95">
        <v>2025</v>
      </c>
      <c r="C768" s="95">
        <v>135</v>
      </c>
      <c r="D768" s="94" t="s">
        <v>375</v>
      </c>
      <c r="E768" s="95">
        <v>11</v>
      </c>
      <c r="F768" s="95">
        <v>4</v>
      </c>
      <c r="G768" s="94" t="s">
        <v>270</v>
      </c>
      <c r="H768" s="167">
        <v>315</v>
      </c>
      <c r="I768" s="96">
        <v>0</v>
      </c>
      <c r="J768" s="94" t="s">
        <v>268</v>
      </c>
    </row>
    <row r="769" spans="1:10" hidden="1" x14ac:dyDescent="0.2">
      <c r="A769" s="94" t="s">
        <v>265</v>
      </c>
      <c r="B769" s="95">
        <v>2025</v>
      </c>
      <c r="C769" s="95">
        <v>135</v>
      </c>
      <c r="D769" s="94" t="s">
        <v>375</v>
      </c>
      <c r="E769" s="95">
        <v>11</v>
      </c>
      <c r="F769" s="95">
        <v>6</v>
      </c>
      <c r="G769" s="94" t="s">
        <v>271</v>
      </c>
      <c r="H769" s="167">
        <v>16875</v>
      </c>
      <c r="I769" s="96">
        <v>0</v>
      </c>
      <c r="J769" s="94" t="s">
        <v>268</v>
      </c>
    </row>
    <row r="770" spans="1:10" hidden="1" x14ac:dyDescent="0.2">
      <c r="A770" s="94" t="s">
        <v>265</v>
      </c>
      <c r="B770" s="95">
        <v>2025</v>
      </c>
      <c r="C770" s="95">
        <v>135</v>
      </c>
      <c r="D770" s="94" t="s">
        <v>375</v>
      </c>
      <c r="E770" s="95">
        <v>11</v>
      </c>
      <c r="F770" s="95">
        <v>24</v>
      </c>
      <c r="G770" s="94" t="s">
        <v>272</v>
      </c>
      <c r="H770" s="167">
        <v>999.9</v>
      </c>
      <c r="I770" s="96">
        <v>0</v>
      </c>
      <c r="J770" s="94" t="s">
        <v>268</v>
      </c>
    </row>
    <row r="771" spans="1:10" hidden="1" x14ac:dyDescent="0.2">
      <c r="A771" s="94" t="s">
        <v>265</v>
      </c>
      <c r="B771" s="95">
        <v>2025</v>
      </c>
      <c r="C771" s="95">
        <v>135</v>
      </c>
      <c r="D771" s="94" t="s">
        <v>375</v>
      </c>
      <c r="E771" s="95">
        <v>11</v>
      </c>
      <c r="F771" s="95">
        <v>25</v>
      </c>
      <c r="G771" s="94" t="s">
        <v>273</v>
      </c>
      <c r="H771" s="167">
        <v>153.99</v>
      </c>
      <c r="I771" s="96">
        <v>0</v>
      </c>
      <c r="J771" s="94" t="s">
        <v>268</v>
      </c>
    </row>
    <row r="772" spans="1:10" hidden="1" x14ac:dyDescent="0.2">
      <c r="A772" s="94" t="s">
        <v>265</v>
      </c>
      <c r="B772" s="95">
        <v>2025</v>
      </c>
      <c r="C772" s="95">
        <v>135</v>
      </c>
      <c r="D772" s="94" t="s">
        <v>375</v>
      </c>
      <c r="E772" s="95">
        <v>11</v>
      </c>
      <c r="F772" s="95">
        <v>51</v>
      </c>
      <c r="G772" s="94" t="s">
        <v>274</v>
      </c>
      <c r="H772" s="167">
        <v>154</v>
      </c>
      <c r="I772" s="96">
        <v>0</v>
      </c>
      <c r="J772" s="94" t="s">
        <v>268</v>
      </c>
    </row>
    <row r="773" spans="1:10" hidden="1" x14ac:dyDescent="0.2">
      <c r="A773" s="94" t="s">
        <v>265</v>
      </c>
      <c r="B773" s="95">
        <v>2025</v>
      </c>
      <c r="C773" s="95">
        <v>135</v>
      </c>
      <c r="D773" s="94" t="s">
        <v>375</v>
      </c>
      <c r="E773" s="95">
        <v>11</v>
      </c>
      <c r="F773" s="95">
        <v>93</v>
      </c>
      <c r="G773" s="94" t="s">
        <v>275</v>
      </c>
      <c r="H773" s="167">
        <v>2592.0100000000002</v>
      </c>
      <c r="I773" s="96">
        <v>0</v>
      </c>
      <c r="J773" s="94" t="s">
        <v>268</v>
      </c>
    </row>
    <row r="774" spans="1:10" hidden="1" x14ac:dyDescent="0.2">
      <c r="A774" s="94" t="s">
        <v>265</v>
      </c>
      <c r="B774" s="95">
        <v>2025</v>
      </c>
      <c r="C774" s="95">
        <v>136</v>
      </c>
      <c r="D774" s="94" t="s">
        <v>376</v>
      </c>
      <c r="E774" s="95">
        <v>11</v>
      </c>
      <c r="F774" s="95">
        <v>1</v>
      </c>
      <c r="G774" s="94" t="s">
        <v>267</v>
      </c>
      <c r="H774" s="167">
        <v>22400</v>
      </c>
      <c r="I774" s="96">
        <v>0</v>
      </c>
      <c r="J774" s="94" t="s">
        <v>268</v>
      </c>
    </row>
    <row r="775" spans="1:10" hidden="1" x14ac:dyDescent="0.2">
      <c r="A775" s="94" t="s">
        <v>265</v>
      </c>
      <c r="B775" s="95">
        <v>2025</v>
      </c>
      <c r="C775" s="95">
        <v>136</v>
      </c>
      <c r="D775" s="94" t="s">
        <v>376</v>
      </c>
      <c r="E775" s="95">
        <v>11</v>
      </c>
      <c r="F775" s="95">
        <v>3</v>
      </c>
      <c r="G775" s="94" t="s">
        <v>269</v>
      </c>
      <c r="H775" s="167">
        <v>216.93</v>
      </c>
      <c r="I775" s="96">
        <v>0</v>
      </c>
      <c r="J775" s="94" t="s">
        <v>268</v>
      </c>
    </row>
    <row r="776" spans="1:10" hidden="1" x14ac:dyDescent="0.2">
      <c r="A776" s="94" t="s">
        <v>265</v>
      </c>
      <c r="B776" s="95">
        <v>2025</v>
      </c>
      <c r="C776" s="95">
        <v>136</v>
      </c>
      <c r="D776" s="94" t="s">
        <v>376</v>
      </c>
      <c r="E776" s="95">
        <v>11</v>
      </c>
      <c r="F776" s="95">
        <v>4</v>
      </c>
      <c r="G776" s="94" t="s">
        <v>270</v>
      </c>
      <c r="H776" s="167">
        <v>315</v>
      </c>
      <c r="I776" s="96">
        <v>0</v>
      </c>
      <c r="J776" s="94" t="s">
        <v>268</v>
      </c>
    </row>
    <row r="777" spans="1:10" hidden="1" x14ac:dyDescent="0.2">
      <c r="A777" s="94" t="s">
        <v>265</v>
      </c>
      <c r="B777" s="95">
        <v>2025</v>
      </c>
      <c r="C777" s="95">
        <v>136</v>
      </c>
      <c r="D777" s="94" t="s">
        <v>376</v>
      </c>
      <c r="E777" s="95">
        <v>11</v>
      </c>
      <c r="F777" s="95">
        <v>6</v>
      </c>
      <c r="G777" s="94" t="s">
        <v>271</v>
      </c>
      <c r="H777" s="167">
        <v>9600</v>
      </c>
      <c r="I777" s="96">
        <v>0</v>
      </c>
      <c r="J777" s="94" t="s">
        <v>268</v>
      </c>
    </row>
    <row r="778" spans="1:10" hidden="1" x14ac:dyDescent="0.2">
      <c r="A778" s="94" t="s">
        <v>265</v>
      </c>
      <c r="B778" s="95">
        <v>2025</v>
      </c>
      <c r="C778" s="95">
        <v>136</v>
      </c>
      <c r="D778" s="94" t="s">
        <v>376</v>
      </c>
      <c r="E778" s="95">
        <v>11</v>
      </c>
      <c r="F778" s="95">
        <v>24</v>
      </c>
      <c r="G778" s="94" t="s">
        <v>272</v>
      </c>
      <c r="H778" s="167">
        <v>1000</v>
      </c>
      <c r="I778" s="96">
        <v>0</v>
      </c>
      <c r="J778" s="94" t="s">
        <v>268</v>
      </c>
    </row>
    <row r="779" spans="1:10" hidden="1" x14ac:dyDescent="0.2">
      <c r="A779" s="94" t="s">
        <v>265</v>
      </c>
      <c r="B779" s="95">
        <v>2025</v>
      </c>
      <c r="C779" s="95">
        <v>136</v>
      </c>
      <c r="D779" s="94" t="s">
        <v>376</v>
      </c>
      <c r="E779" s="95">
        <v>11</v>
      </c>
      <c r="F779" s="95">
        <v>25</v>
      </c>
      <c r="G779" s="94" t="s">
        <v>273</v>
      </c>
      <c r="H779" s="167">
        <v>136.78</v>
      </c>
      <c r="I779" s="96">
        <v>0</v>
      </c>
      <c r="J779" s="94" t="s">
        <v>268</v>
      </c>
    </row>
    <row r="780" spans="1:10" hidden="1" x14ac:dyDescent="0.2">
      <c r="A780" s="94" t="s">
        <v>265</v>
      </c>
      <c r="B780" s="95">
        <v>2025</v>
      </c>
      <c r="C780" s="95">
        <v>136</v>
      </c>
      <c r="D780" s="94" t="s">
        <v>376</v>
      </c>
      <c r="E780" s="95">
        <v>11</v>
      </c>
      <c r="F780" s="95">
        <v>51</v>
      </c>
      <c r="G780" s="94" t="s">
        <v>274</v>
      </c>
      <c r="H780" s="167">
        <v>154</v>
      </c>
      <c r="I780" s="96">
        <v>0</v>
      </c>
      <c r="J780" s="94" t="s">
        <v>268</v>
      </c>
    </row>
    <row r="781" spans="1:10" hidden="1" x14ac:dyDescent="0.2">
      <c r="A781" s="94" t="s">
        <v>265</v>
      </c>
      <c r="B781" s="95">
        <v>2025</v>
      </c>
      <c r="C781" s="95">
        <v>137</v>
      </c>
      <c r="D781" s="94" t="s">
        <v>377</v>
      </c>
      <c r="E781" s="95">
        <v>11</v>
      </c>
      <c r="F781" s="95">
        <v>1</v>
      </c>
      <c r="G781" s="94" t="s">
        <v>267</v>
      </c>
      <c r="H781" s="167">
        <v>29400</v>
      </c>
      <c r="I781" s="96">
        <v>0</v>
      </c>
      <c r="J781" s="94" t="s">
        <v>268</v>
      </c>
    </row>
    <row r="782" spans="1:10" hidden="1" x14ac:dyDescent="0.2">
      <c r="A782" s="94" t="s">
        <v>265</v>
      </c>
      <c r="B782" s="95">
        <v>2025</v>
      </c>
      <c r="C782" s="95">
        <v>137</v>
      </c>
      <c r="D782" s="94" t="s">
        <v>377</v>
      </c>
      <c r="E782" s="95">
        <v>11</v>
      </c>
      <c r="F782" s="95">
        <v>3</v>
      </c>
      <c r="G782" s="94" t="s">
        <v>269</v>
      </c>
      <c r="H782" s="167">
        <v>201.45</v>
      </c>
      <c r="I782" s="96">
        <v>0</v>
      </c>
      <c r="J782" s="94" t="s">
        <v>268</v>
      </c>
    </row>
    <row r="783" spans="1:10" hidden="1" x14ac:dyDescent="0.2">
      <c r="A783" s="94" t="s">
        <v>265</v>
      </c>
      <c r="B783" s="95">
        <v>2025</v>
      </c>
      <c r="C783" s="95">
        <v>137</v>
      </c>
      <c r="D783" s="94" t="s">
        <v>377</v>
      </c>
      <c r="E783" s="95">
        <v>11</v>
      </c>
      <c r="F783" s="95">
        <v>4</v>
      </c>
      <c r="G783" s="94" t="s">
        <v>270</v>
      </c>
      <c r="H783" s="167">
        <v>315</v>
      </c>
      <c r="I783" s="96">
        <v>0</v>
      </c>
      <c r="J783" s="94" t="s">
        <v>268</v>
      </c>
    </row>
    <row r="784" spans="1:10" hidden="1" x14ac:dyDescent="0.2">
      <c r="A784" s="94" t="s">
        <v>265</v>
      </c>
      <c r="B784" s="95">
        <v>2025</v>
      </c>
      <c r="C784" s="95">
        <v>137</v>
      </c>
      <c r="D784" s="94" t="s">
        <v>377</v>
      </c>
      <c r="E784" s="95">
        <v>11</v>
      </c>
      <c r="F784" s="95">
        <v>6</v>
      </c>
      <c r="G784" s="94" t="s">
        <v>271</v>
      </c>
      <c r="H784" s="167">
        <v>12600</v>
      </c>
      <c r="I784" s="96">
        <v>0</v>
      </c>
      <c r="J784" s="94" t="s">
        <v>268</v>
      </c>
    </row>
    <row r="785" spans="1:10" hidden="1" x14ac:dyDescent="0.2">
      <c r="A785" s="94" t="s">
        <v>265</v>
      </c>
      <c r="B785" s="95">
        <v>2025</v>
      </c>
      <c r="C785" s="95">
        <v>137</v>
      </c>
      <c r="D785" s="94" t="s">
        <v>377</v>
      </c>
      <c r="E785" s="95">
        <v>11</v>
      </c>
      <c r="F785" s="95">
        <v>24</v>
      </c>
      <c r="G785" s="94" t="s">
        <v>272</v>
      </c>
      <c r="H785" s="167">
        <v>1000</v>
      </c>
      <c r="I785" s="96">
        <v>0</v>
      </c>
      <c r="J785" s="94" t="s">
        <v>268</v>
      </c>
    </row>
    <row r="786" spans="1:10" hidden="1" x14ac:dyDescent="0.2">
      <c r="A786" s="94" t="s">
        <v>265</v>
      </c>
      <c r="B786" s="95">
        <v>2025</v>
      </c>
      <c r="C786" s="95">
        <v>137</v>
      </c>
      <c r="D786" s="94" t="s">
        <v>377</v>
      </c>
      <c r="E786" s="95">
        <v>11</v>
      </c>
      <c r="F786" s="95">
        <v>25</v>
      </c>
      <c r="G786" s="94" t="s">
        <v>273</v>
      </c>
      <c r="H786" s="167">
        <v>117.02</v>
      </c>
      <c r="I786" s="96">
        <v>0</v>
      </c>
      <c r="J786" s="94" t="s">
        <v>268</v>
      </c>
    </row>
    <row r="787" spans="1:10" hidden="1" x14ac:dyDescent="0.2">
      <c r="A787" s="94" t="s">
        <v>265</v>
      </c>
      <c r="B787" s="95">
        <v>2025</v>
      </c>
      <c r="C787" s="95">
        <v>137</v>
      </c>
      <c r="D787" s="94" t="s">
        <v>377</v>
      </c>
      <c r="E787" s="95">
        <v>11</v>
      </c>
      <c r="F787" s="95">
        <v>51</v>
      </c>
      <c r="G787" s="94" t="s">
        <v>274</v>
      </c>
      <c r="H787" s="167">
        <v>154</v>
      </c>
      <c r="I787" s="96">
        <v>0</v>
      </c>
      <c r="J787" s="94" t="s">
        <v>268</v>
      </c>
    </row>
    <row r="788" spans="1:10" hidden="1" x14ac:dyDescent="0.2">
      <c r="A788" s="94" t="s">
        <v>265</v>
      </c>
      <c r="B788" s="95">
        <v>2025</v>
      </c>
      <c r="C788" s="95">
        <v>137</v>
      </c>
      <c r="D788" s="94" t="s">
        <v>377</v>
      </c>
      <c r="E788" s="95">
        <v>11</v>
      </c>
      <c r="F788" s="95">
        <v>93</v>
      </c>
      <c r="G788" s="94" t="s">
        <v>275</v>
      </c>
      <c r="H788" s="167">
        <v>216.68</v>
      </c>
      <c r="I788" s="96">
        <v>0</v>
      </c>
      <c r="J788" s="94" t="s">
        <v>268</v>
      </c>
    </row>
    <row r="789" spans="1:10" hidden="1" x14ac:dyDescent="0.2">
      <c r="A789" s="94" t="s">
        <v>265</v>
      </c>
      <c r="B789" s="95">
        <v>2025</v>
      </c>
      <c r="C789" s="95">
        <v>138</v>
      </c>
      <c r="D789" s="94" t="s">
        <v>378</v>
      </c>
      <c r="E789" s="95">
        <v>11</v>
      </c>
      <c r="F789" s="95">
        <v>1</v>
      </c>
      <c r="G789" s="94" t="s">
        <v>267</v>
      </c>
      <c r="H789" s="167">
        <v>29050</v>
      </c>
      <c r="I789" s="96">
        <v>0</v>
      </c>
      <c r="J789" s="94" t="s">
        <v>268</v>
      </c>
    </row>
    <row r="790" spans="1:10" hidden="1" x14ac:dyDescent="0.2">
      <c r="A790" s="94" t="s">
        <v>265</v>
      </c>
      <c r="B790" s="95">
        <v>2025</v>
      </c>
      <c r="C790" s="95">
        <v>138</v>
      </c>
      <c r="D790" s="94" t="s">
        <v>378</v>
      </c>
      <c r="E790" s="95">
        <v>11</v>
      </c>
      <c r="F790" s="95">
        <v>3</v>
      </c>
      <c r="G790" s="94" t="s">
        <v>269</v>
      </c>
      <c r="H790" s="167">
        <v>218.48</v>
      </c>
      <c r="I790" s="96">
        <v>0</v>
      </c>
      <c r="J790" s="94" t="s">
        <v>268</v>
      </c>
    </row>
    <row r="791" spans="1:10" hidden="1" x14ac:dyDescent="0.2">
      <c r="A791" s="94" t="s">
        <v>265</v>
      </c>
      <c r="B791" s="95">
        <v>2025</v>
      </c>
      <c r="C791" s="95">
        <v>138</v>
      </c>
      <c r="D791" s="94" t="s">
        <v>378</v>
      </c>
      <c r="E791" s="95">
        <v>11</v>
      </c>
      <c r="F791" s="95">
        <v>4</v>
      </c>
      <c r="G791" s="94" t="s">
        <v>270</v>
      </c>
      <c r="H791" s="167">
        <v>315</v>
      </c>
      <c r="I791" s="96">
        <v>0</v>
      </c>
      <c r="J791" s="94" t="s">
        <v>268</v>
      </c>
    </row>
    <row r="792" spans="1:10" hidden="1" x14ac:dyDescent="0.2">
      <c r="A792" s="94" t="s">
        <v>265</v>
      </c>
      <c r="B792" s="95">
        <v>2025</v>
      </c>
      <c r="C792" s="95">
        <v>138</v>
      </c>
      <c r="D792" s="94" t="s">
        <v>378</v>
      </c>
      <c r="E792" s="95">
        <v>11</v>
      </c>
      <c r="F792" s="95">
        <v>6</v>
      </c>
      <c r="G792" s="94" t="s">
        <v>271</v>
      </c>
      <c r="H792" s="167">
        <v>12450</v>
      </c>
      <c r="I792" s="96">
        <v>0</v>
      </c>
      <c r="J792" s="94" t="s">
        <v>268</v>
      </c>
    </row>
    <row r="793" spans="1:10" hidden="1" x14ac:dyDescent="0.2">
      <c r="A793" s="94" t="s">
        <v>265</v>
      </c>
      <c r="B793" s="95">
        <v>2025</v>
      </c>
      <c r="C793" s="95">
        <v>138</v>
      </c>
      <c r="D793" s="94" t="s">
        <v>378</v>
      </c>
      <c r="E793" s="95">
        <v>11</v>
      </c>
      <c r="F793" s="95">
        <v>24</v>
      </c>
      <c r="G793" s="94" t="s">
        <v>272</v>
      </c>
      <c r="H793" s="167">
        <v>769</v>
      </c>
      <c r="I793" s="96">
        <v>0</v>
      </c>
      <c r="J793" s="94" t="s">
        <v>268</v>
      </c>
    </row>
    <row r="794" spans="1:10" hidden="1" x14ac:dyDescent="0.2">
      <c r="A794" s="94" t="s">
        <v>265</v>
      </c>
      <c r="B794" s="95">
        <v>2025</v>
      </c>
      <c r="C794" s="95">
        <v>138</v>
      </c>
      <c r="D794" s="94" t="s">
        <v>378</v>
      </c>
      <c r="E794" s="95">
        <v>11</v>
      </c>
      <c r="F794" s="95">
        <v>25</v>
      </c>
      <c r="G794" s="94" t="s">
        <v>273</v>
      </c>
      <c r="H794" s="167">
        <v>136.77000000000001</v>
      </c>
      <c r="I794" s="96">
        <v>0</v>
      </c>
      <c r="J794" s="94" t="s">
        <v>268</v>
      </c>
    </row>
    <row r="795" spans="1:10" hidden="1" x14ac:dyDescent="0.2">
      <c r="A795" s="94" t="s">
        <v>265</v>
      </c>
      <c r="B795" s="95">
        <v>2025</v>
      </c>
      <c r="C795" s="95">
        <v>138</v>
      </c>
      <c r="D795" s="94" t="s">
        <v>378</v>
      </c>
      <c r="E795" s="95">
        <v>11</v>
      </c>
      <c r="F795" s="95">
        <v>51</v>
      </c>
      <c r="G795" s="94" t="s">
        <v>274</v>
      </c>
      <c r="H795" s="167">
        <v>154</v>
      </c>
      <c r="I795" s="96">
        <v>0</v>
      </c>
      <c r="J795" s="94" t="s">
        <v>268</v>
      </c>
    </row>
    <row r="796" spans="1:10" hidden="1" x14ac:dyDescent="0.2">
      <c r="A796" s="94" t="s">
        <v>265</v>
      </c>
      <c r="B796" s="95">
        <v>2025</v>
      </c>
      <c r="C796" s="95">
        <v>138</v>
      </c>
      <c r="D796" s="94" t="s">
        <v>378</v>
      </c>
      <c r="E796" s="95">
        <v>11</v>
      </c>
      <c r="F796" s="95">
        <v>91</v>
      </c>
      <c r="G796" s="94" t="s">
        <v>379</v>
      </c>
      <c r="H796" s="167">
        <v>707.39</v>
      </c>
      <c r="I796" s="96">
        <v>0</v>
      </c>
      <c r="J796" s="94" t="s">
        <v>268</v>
      </c>
    </row>
    <row r="797" spans="1:10" hidden="1" x14ac:dyDescent="0.2">
      <c r="A797" s="94" t="s">
        <v>265</v>
      </c>
      <c r="B797" s="95">
        <v>2025</v>
      </c>
      <c r="C797" s="95">
        <v>138</v>
      </c>
      <c r="D797" s="94" t="s">
        <v>378</v>
      </c>
      <c r="E797" s="95">
        <v>11</v>
      </c>
      <c r="F797" s="95">
        <v>93</v>
      </c>
      <c r="G797" s="94" t="s">
        <v>275</v>
      </c>
      <c r="H797" s="167">
        <v>314.48</v>
      </c>
      <c r="I797" s="96">
        <v>0</v>
      </c>
      <c r="J797" s="94" t="s">
        <v>268</v>
      </c>
    </row>
    <row r="798" spans="1:10" hidden="1" x14ac:dyDescent="0.2">
      <c r="A798" s="94" t="s">
        <v>265</v>
      </c>
      <c r="B798" s="95">
        <v>2025</v>
      </c>
      <c r="C798" s="95">
        <v>139</v>
      </c>
      <c r="D798" s="94" t="s">
        <v>380</v>
      </c>
      <c r="E798" s="95">
        <v>11</v>
      </c>
      <c r="F798" s="95">
        <v>1</v>
      </c>
      <c r="G798" s="94" t="s">
        <v>267</v>
      </c>
      <c r="H798" s="167">
        <v>16625</v>
      </c>
      <c r="I798" s="96">
        <v>0</v>
      </c>
      <c r="J798" s="94" t="s">
        <v>381</v>
      </c>
    </row>
    <row r="799" spans="1:10" hidden="1" x14ac:dyDescent="0.2">
      <c r="A799" s="94" t="s">
        <v>265</v>
      </c>
      <c r="B799" s="95">
        <v>2025</v>
      </c>
      <c r="C799" s="95">
        <v>139</v>
      </c>
      <c r="D799" s="94" t="s">
        <v>380</v>
      </c>
      <c r="E799" s="95">
        <v>11</v>
      </c>
      <c r="F799" s="95">
        <v>3</v>
      </c>
      <c r="G799" s="94" t="s">
        <v>269</v>
      </c>
      <c r="H799" s="167">
        <v>218.46</v>
      </c>
      <c r="I799" s="96">
        <v>0</v>
      </c>
      <c r="J799" s="94" t="s">
        <v>381</v>
      </c>
    </row>
    <row r="800" spans="1:10" hidden="1" x14ac:dyDescent="0.2">
      <c r="A800" s="94" t="s">
        <v>265</v>
      </c>
      <c r="B800" s="95">
        <v>2025</v>
      </c>
      <c r="C800" s="95">
        <v>139</v>
      </c>
      <c r="D800" s="94" t="s">
        <v>380</v>
      </c>
      <c r="E800" s="95">
        <v>11</v>
      </c>
      <c r="F800" s="95">
        <v>4</v>
      </c>
      <c r="G800" s="94" t="s">
        <v>270</v>
      </c>
      <c r="H800" s="167">
        <v>315</v>
      </c>
      <c r="I800" s="96">
        <v>0</v>
      </c>
      <c r="J800" s="94" t="s">
        <v>381</v>
      </c>
    </row>
    <row r="801" spans="1:10" hidden="1" x14ac:dyDescent="0.2">
      <c r="A801" s="94" t="s">
        <v>265</v>
      </c>
      <c r="B801" s="95">
        <v>2025</v>
      </c>
      <c r="C801" s="95">
        <v>139</v>
      </c>
      <c r="D801" s="94" t="s">
        <v>380</v>
      </c>
      <c r="E801" s="95">
        <v>11</v>
      </c>
      <c r="F801" s="95">
        <v>6</v>
      </c>
      <c r="G801" s="94" t="s">
        <v>271</v>
      </c>
      <c r="H801" s="167">
        <v>7125</v>
      </c>
      <c r="I801" s="96">
        <v>0</v>
      </c>
      <c r="J801" s="94" t="s">
        <v>381</v>
      </c>
    </row>
    <row r="802" spans="1:10" hidden="1" x14ac:dyDescent="0.2">
      <c r="A802" s="94" t="s">
        <v>265</v>
      </c>
      <c r="B802" s="95">
        <v>2025</v>
      </c>
      <c r="C802" s="95">
        <v>139</v>
      </c>
      <c r="D802" s="94" t="s">
        <v>380</v>
      </c>
      <c r="E802" s="95">
        <v>11</v>
      </c>
      <c r="F802" s="95">
        <v>24</v>
      </c>
      <c r="G802" s="94" t="s">
        <v>272</v>
      </c>
      <c r="H802" s="167">
        <v>0</v>
      </c>
      <c r="I802" s="96">
        <v>0</v>
      </c>
      <c r="J802" s="94" t="s">
        <v>381</v>
      </c>
    </row>
    <row r="803" spans="1:10" hidden="1" x14ac:dyDescent="0.2">
      <c r="A803" s="94" t="s">
        <v>265</v>
      </c>
      <c r="B803" s="95">
        <v>2025</v>
      </c>
      <c r="C803" s="95">
        <v>139</v>
      </c>
      <c r="D803" s="94" t="s">
        <v>380</v>
      </c>
      <c r="E803" s="95">
        <v>11</v>
      </c>
      <c r="F803" s="95">
        <v>25</v>
      </c>
      <c r="G803" s="94" t="s">
        <v>273</v>
      </c>
      <c r="H803" s="167">
        <v>138.32</v>
      </c>
      <c r="I803" s="96">
        <v>0</v>
      </c>
      <c r="J803" s="94" t="s">
        <v>381</v>
      </c>
    </row>
    <row r="804" spans="1:10" hidden="1" x14ac:dyDescent="0.2">
      <c r="A804" s="94" t="s">
        <v>265</v>
      </c>
      <c r="B804" s="95">
        <v>2025</v>
      </c>
      <c r="C804" s="95">
        <v>139</v>
      </c>
      <c r="D804" s="94" t="s">
        <v>380</v>
      </c>
      <c r="E804" s="95">
        <v>11</v>
      </c>
      <c r="F804" s="95">
        <v>51</v>
      </c>
      <c r="G804" s="94" t="s">
        <v>274</v>
      </c>
      <c r="H804" s="167">
        <v>154</v>
      </c>
      <c r="I804" s="96">
        <v>0</v>
      </c>
      <c r="J804" s="94" t="s">
        <v>381</v>
      </c>
    </row>
  </sheetData>
  <autoFilter ref="A1:J804" xr:uid="{982DC8BB-C43B-47F9-BE03-DD942789A1DC}">
    <filterColumn colId="5">
      <filters>
        <filter val="15"/>
        <filter val="61"/>
        <filter val="62"/>
        <filter val="75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4316-0824-4090-AD4C-F7C4FF5987B2}">
  <sheetPr filterMode="1"/>
  <dimension ref="A1:K151"/>
  <sheetViews>
    <sheetView rightToLeft="1" workbookViewId="0">
      <selection activeCell="C83" sqref="C83:H85"/>
    </sheetView>
  </sheetViews>
  <sheetFormatPr baseColWidth="10" defaultColWidth="8.83203125" defaultRowHeight="15" x14ac:dyDescent="0.2"/>
  <cols>
    <col min="4" max="4" width="15.33203125" bestFit="1" customWidth="1"/>
    <col min="11" max="11" width="13.6640625" style="151" bestFit="1" customWidth="1"/>
  </cols>
  <sheetData>
    <row r="1" spans="1:11" x14ac:dyDescent="0.2">
      <c r="A1" s="91" t="s">
        <v>255</v>
      </c>
      <c r="B1" s="92" t="s">
        <v>256</v>
      </c>
      <c r="C1" s="92" t="s">
        <v>257</v>
      </c>
      <c r="D1" s="91" t="s">
        <v>258</v>
      </c>
      <c r="E1" s="91" t="s">
        <v>264</v>
      </c>
      <c r="F1" s="92" t="s">
        <v>259</v>
      </c>
      <c r="G1" s="92" t="s">
        <v>382</v>
      </c>
      <c r="H1" s="92" t="s">
        <v>383</v>
      </c>
      <c r="I1" s="91" t="s">
        <v>384</v>
      </c>
      <c r="J1" s="91" t="s">
        <v>385</v>
      </c>
      <c r="K1" s="153" t="s">
        <v>386</v>
      </c>
    </row>
    <row r="2" spans="1:11" hidden="1" x14ac:dyDescent="0.2">
      <c r="A2" s="94" t="s">
        <v>265</v>
      </c>
      <c r="B2" s="95">
        <v>2025</v>
      </c>
      <c r="C2" s="95">
        <v>4</v>
      </c>
      <c r="D2" s="94" t="s">
        <v>266</v>
      </c>
      <c r="E2" s="94" t="s">
        <v>268</v>
      </c>
      <c r="F2" s="95">
        <v>11</v>
      </c>
      <c r="G2" s="95">
        <v>0</v>
      </c>
      <c r="H2" s="95">
        <v>8</v>
      </c>
      <c r="I2" s="94" t="s">
        <v>387</v>
      </c>
      <c r="J2" s="94" t="s">
        <v>388</v>
      </c>
      <c r="K2" s="154">
        <v>7877.88</v>
      </c>
    </row>
    <row r="3" spans="1:11" hidden="1" x14ac:dyDescent="0.2">
      <c r="A3" s="94" t="s">
        <v>265</v>
      </c>
      <c r="B3" s="95">
        <v>2025</v>
      </c>
      <c r="C3" s="95">
        <v>4</v>
      </c>
      <c r="D3" s="94" t="s">
        <v>266</v>
      </c>
      <c r="E3" s="94" t="s">
        <v>268</v>
      </c>
      <c r="F3" s="95">
        <v>11</v>
      </c>
      <c r="G3" s="95">
        <v>1</v>
      </c>
      <c r="H3" s="95">
        <v>9</v>
      </c>
      <c r="I3" s="94" t="s">
        <v>387</v>
      </c>
      <c r="J3" s="94" t="s">
        <v>389</v>
      </c>
      <c r="K3" s="154">
        <v>-1580</v>
      </c>
    </row>
    <row r="4" spans="1:11" hidden="1" x14ac:dyDescent="0.2">
      <c r="A4" s="94" t="s">
        <v>265</v>
      </c>
      <c r="B4" s="95">
        <v>2025</v>
      </c>
      <c r="C4" s="95">
        <v>6</v>
      </c>
      <c r="D4" s="94" t="s">
        <v>276</v>
      </c>
      <c r="E4" s="94" t="s">
        <v>268</v>
      </c>
      <c r="F4" s="95">
        <v>11</v>
      </c>
      <c r="G4" s="95">
        <v>0</v>
      </c>
      <c r="H4" s="95">
        <v>8</v>
      </c>
      <c r="I4" s="94" t="s">
        <v>387</v>
      </c>
      <c r="J4" s="94" t="s">
        <v>388</v>
      </c>
      <c r="K4" s="154">
        <v>7812.59</v>
      </c>
    </row>
    <row r="5" spans="1:11" hidden="1" x14ac:dyDescent="0.2">
      <c r="A5" s="94" t="s">
        <v>265</v>
      </c>
      <c r="B5" s="95">
        <v>2025</v>
      </c>
      <c r="C5" s="95">
        <v>8</v>
      </c>
      <c r="D5" s="94" t="s">
        <v>277</v>
      </c>
      <c r="E5" s="94" t="s">
        <v>268</v>
      </c>
      <c r="F5" s="95">
        <v>11</v>
      </c>
      <c r="G5" s="95">
        <v>0</v>
      </c>
      <c r="H5" s="95">
        <v>8</v>
      </c>
      <c r="I5" s="94" t="s">
        <v>387</v>
      </c>
      <c r="J5" s="94" t="s">
        <v>388</v>
      </c>
      <c r="K5" s="154">
        <v>7650.03</v>
      </c>
    </row>
    <row r="6" spans="1:11" hidden="1" x14ac:dyDescent="0.2">
      <c r="A6" s="94" t="s">
        <v>265</v>
      </c>
      <c r="B6" s="95">
        <v>2025</v>
      </c>
      <c r="C6" s="95">
        <v>8</v>
      </c>
      <c r="D6" s="94" t="s">
        <v>277</v>
      </c>
      <c r="E6" s="94" t="s">
        <v>268</v>
      </c>
      <c r="F6" s="95">
        <v>11</v>
      </c>
      <c r="G6" s="95">
        <v>1</v>
      </c>
      <c r="H6" s="95">
        <v>9</v>
      </c>
      <c r="I6" s="94" t="s">
        <v>387</v>
      </c>
      <c r="J6" s="94" t="s">
        <v>389</v>
      </c>
      <c r="K6" s="154">
        <v>-1860</v>
      </c>
    </row>
    <row r="7" spans="1:11" hidden="1" x14ac:dyDescent="0.2">
      <c r="A7" s="94" t="s">
        <v>265</v>
      </c>
      <c r="B7" s="95">
        <v>2025</v>
      </c>
      <c r="C7" s="95">
        <v>11</v>
      </c>
      <c r="D7" s="94" t="s">
        <v>278</v>
      </c>
      <c r="E7" s="94" t="s">
        <v>268</v>
      </c>
      <c r="F7" s="95">
        <v>11</v>
      </c>
      <c r="G7" s="95">
        <v>0</v>
      </c>
      <c r="H7" s="95">
        <v>8</v>
      </c>
      <c r="I7" s="94" t="s">
        <v>387</v>
      </c>
      <c r="J7" s="94" t="s">
        <v>388</v>
      </c>
      <c r="K7" s="154">
        <v>6126.68</v>
      </c>
    </row>
    <row r="8" spans="1:11" hidden="1" x14ac:dyDescent="0.2">
      <c r="A8" s="94" t="s">
        <v>265</v>
      </c>
      <c r="B8" s="95">
        <v>2025</v>
      </c>
      <c r="C8" s="95">
        <v>12</v>
      </c>
      <c r="D8" s="94" t="s">
        <v>279</v>
      </c>
      <c r="E8" s="94" t="s">
        <v>268</v>
      </c>
      <c r="F8" s="95">
        <v>11</v>
      </c>
      <c r="G8" s="95">
        <v>0</v>
      </c>
      <c r="H8" s="95">
        <v>8</v>
      </c>
      <c r="I8" s="94" t="s">
        <v>387</v>
      </c>
      <c r="J8" s="94" t="s">
        <v>388</v>
      </c>
      <c r="K8" s="154">
        <v>6944.14</v>
      </c>
    </row>
    <row r="9" spans="1:11" hidden="1" x14ac:dyDescent="0.2">
      <c r="A9" s="94" t="s">
        <v>265</v>
      </c>
      <c r="B9" s="95">
        <v>2025</v>
      </c>
      <c r="C9" s="95">
        <v>12</v>
      </c>
      <c r="D9" s="94" t="s">
        <v>279</v>
      </c>
      <c r="E9" s="94" t="s">
        <v>268</v>
      </c>
      <c r="F9" s="95">
        <v>11</v>
      </c>
      <c r="G9" s="95">
        <v>1</v>
      </c>
      <c r="H9" s="95">
        <v>9</v>
      </c>
      <c r="I9" s="94" t="s">
        <v>387</v>
      </c>
      <c r="J9" s="94" t="s">
        <v>389</v>
      </c>
      <c r="K9" s="154">
        <v>-391</v>
      </c>
    </row>
    <row r="10" spans="1:11" hidden="1" x14ac:dyDescent="0.2">
      <c r="A10" s="94" t="s">
        <v>265</v>
      </c>
      <c r="B10" s="95">
        <v>2025</v>
      </c>
      <c r="C10" s="95">
        <v>14</v>
      </c>
      <c r="D10" s="94" t="s">
        <v>280</v>
      </c>
      <c r="E10" s="94" t="s">
        <v>268</v>
      </c>
      <c r="F10" s="95">
        <v>11</v>
      </c>
      <c r="G10" s="95">
        <v>0</v>
      </c>
      <c r="H10" s="95">
        <v>8</v>
      </c>
      <c r="I10" s="94" t="s">
        <v>387</v>
      </c>
      <c r="J10" s="94" t="s">
        <v>388</v>
      </c>
      <c r="K10" s="154">
        <v>3643.67</v>
      </c>
    </row>
    <row r="11" spans="1:11" hidden="1" x14ac:dyDescent="0.2">
      <c r="A11" s="94" t="s">
        <v>265</v>
      </c>
      <c r="B11" s="95">
        <v>2025</v>
      </c>
      <c r="C11" s="95">
        <v>14</v>
      </c>
      <c r="D11" s="94" t="s">
        <v>280</v>
      </c>
      <c r="E11" s="94" t="s">
        <v>268</v>
      </c>
      <c r="F11" s="95">
        <v>11</v>
      </c>
      <c r="G11" s="95">
        <v>1</v>
      </c>
      <c r="H11" s="95">
        <v>9</v>
      </c>
      <c r="I11" s="94" t="s">
        <v>387</v>
      </c>
      <c r="J11" s="94" t="s">
        <v>389</v>
      </c>
      <c r="K11" s="154">
        <v>-208</v>
      </c>
    </row>
    <row r="12" spans="1:11" x14ac:dyDescent="0.2">
      <c r="A12" s="94" t="s">
        <v>265</v>
      </c>
      <c r="B12" s="95">
        <v>2025</v>
      </c>
      <c r="C12" s="95">
        <v>14</v>
      </c>
      <c r="D12" s="94" t="s">
        <v>280</v>
      </c>
      <c r="E12" s="94" t="s">
        <v>268</v>
      </c>
      <c r="F12" s="95">
        <v>11</v>
      </c>
      <c r="G12" s="95">
        <v>2</v>
      </c>
      <c r="H12" s="95">
        <v>13</v>
      </c>
      <c r="I12" s="94" t="s">
        <v>387</v>
      </c>
      <c r="J12" s="94" t="s">
        <v>390</v>
      </c>
      <c r="K12" s="154">
        <v>-77367.45</v>
      </c>
    </row>
    <row r="13" spans="1:11" x14ac:dyDescent="0.2">
      <c r="A13" s="94" t="s">
        <v>265</v>
      </c>
      <c r="B13" s="95">
        <v>2025</v>
      </c>
      <c r="C13" s="95">
        <v>14</v>
      </c>
      <c r="D13" s="94" t="s">
        <v>280</v>
      </c>
      <c r="E13" s="94" t="s">
        <v>268</v>
      </c>
      <c r="F13" s="95">
        <v>11</v>
      </c>
      <c r="G13" s="95">
        <v>3</v>
      </c>
      <c r="H13" s="95">
        <v>13</v>
      </c>
      <c r="I13" s="94" t="s">
        <v>387</v>
      </c>
      <c r="J13" s="94" t="s">
        <v>390</v>
      </c>
      <c r="K13" s="154">
        <v>-54557.91</v>
      </c>
    </row>
    <row r="14" spans="1:11" hidden="1" x14ac:dyDescent="0.2">
      <c r="A14" s="94" t="s">
        <v>265</v>
      </c>
      <c r="B14" s="95">
        <v>2025</v>
      </c>
      <c r="C14" s="95">
        <v>15</v>
      </c>
      <c r="D14" s="94" t="s">
        <v>283</v>
      </c>
      <c r="E14" s="94" t="s">
        <v>268</v>
      </c>
      <c r="F14" s="95">
        <v>11</v>
      </c>
      <c r="G14" s="95">
        <v>0</v>
      </c>
      <c r="H14" s="95">
        <v>8</v>
      </c>
      <c r="I14" s="94" t="s">
        <v>387</v>
      </c>
      <c r="J14" s="94" t="s">
        <v>388</v>
      </c>
      <c r="K14" s="154">
        <v>6627.51</v>
      </c>
    </row>
    <row r="15" spans="1:11" hidden="1" x14ac:dyDescent="0.2">
      <c r="A15" s="94" t="s">
        <v>265</v>
      </c>
      <c r="B15" s="95">
        <v>2025</v>
      </c>
      <c r="C15" s="95">
        <v>17</v>
      </c>
      <c r="D15" s="94" t="s">
        <v>286</v>
      </c>
      <c r="E15" s="94" t="s">
        <v>268</v>
      </c>
      <c r="F15" s="95">
        <v>11</v>
      </c>
      <c r="G15" s="95">
        <v>0</v>
      </c>
      <c r="H15" s="95">
        <v>8</v>
      </c>
      <c r="I15" s="94" t="s">
        <v>387</v>
      </c>
      <c r="J15" s="94" t="s">
        <v>388</v>
      </c>
      <c r="K15" s="154">
        <v>7629.85</v>
      </c>
    </row>
    <row r="16" spans="1:11" hidden="1" x14ac:dyDescent="0.2">
      <c r="A16" s="94" t="s">
        <v>265</v>
      </c>
      <c r="B16" s="95">
        <v>2025</v>
      </c>
      <c r="C16" s="95">
        <v>21</v>
      </c>
      <c r="D16" s="94" t="s">
        <v>287</v>
      </c>
      <c r="E16" s="94" t="s">
        <v>268</v>
      </c>
      <c r="F16" s="95">
        <v>11</v>
      </c>
      <c r="G16" s="95">
        <v>0</v>
      </c>
      <c r="H16" s="95">
        <v>8</v>
      </c>
      <c r="I16" s="94" t="s">
        <v>387</v>
      </c>
      <c r="J16" s="94" t="s">
        <v>388</v>
      </c>
      <c r="K16" s="154">
        <v>6078.89</v>
      </c>
    </row>
    <row r="17" spans="1:11" x14ac:dyDescent="0.2">
      <c r="A17" s="94" t="s">
        <v>265</v>
      </c>
      <c r="B17" s="95">
        <v>2025</v>
      </c>
      <c r="C17" s="95">
        <v>21</v>
      </c>
      <c r="D17" s="94" t="s">
        <v>287</v>
      </c>
      <c r="E17" s="94" t="s">
        <v>268</v>
      </c>
      <c r="F17" s="95">
        <v>11</v>
      </c>
      <c r="G17" s="95">
        <v>1</v>
      </c>
      <c r="H17" s="95">
        <v>13</v>
      </c>
      <c r="I17" s="94" t="s">
        <v>387</v>
      </c>
      <c r="J17" s="94" t="s">
        <v>390</v>
      </c>
      <c r="K17" s="154">
        <v>-53998.2</v>
      </c>
    </row>
    <row r="18" spans="1:11" x14ac:dyDescent="0.2">
      <c r="A18" s="94" t="s">
        <v>265</v>
      </c>
      <c r="B18" s="95">
        <v>2025</v>
      </c>
      <c r="C18" s="95">
        <v>21</v>
      </c>
      <c r="D18" s="94" t="s">
        <v>287</v>
      </c>
      <c r="E18" s="94" t="s">
        <v>268</v>
      </c>
      <c r="F18" s="95">
        <v>11</v>
      </c>
      <c r="G18" s="95">
        <v>2</v>
      </c>
      <c r="H18" s="95">
        <v>13</v>
      </c>
      <c r="I18" s="94" t="s">
        <v>387</v>
      </c>
      <c r="J18" s="94" t="s">
        <v>390</v>
      </c>
      <c r="K18" s="154">
        <v>-20741.23</v>
      </c>
    </row>
    <row r="19" spans="1:11" hidden="1" x14ac:dyDescent="0.2">
      <c r="A19" s="94" t="s">
        <v>265</v>
      </c>
      <c r="B19" s="95">
        <v>2025</v>
      </c>
      <c r="C19" s="95">
        <v>22</v>
      </c>
      <c r="D19" s="94" t="s">
        <v>288</v>
      </c>
      <c r="E19" s="94" t="s">
        <v>268</v>
      </c>
      <c r="F19" s="95">
        <v>11</v>
      </c>
      <c r="G19" s="95">
        <v>0</v>
      </c>
      <c r="H19" s="95">
        <v>8</v>
      </c>
      <c r="I19" s="94" t="s">
        <v>387</v>
      </c>
      <c r="J19" s="94" t="s">
        <v>388</v>
      </c>
      <c r="K19" s="154">
        <v>6314.59</v>
      </c>
    </row>
    <row r="20" spans="1:11" hidden="1" x14ac:dyDescent="0.2">
      <c r="A20" s="94" t="s">
        <v>265</v>
      </c>
      <c r="B20" s="95">
        <v>2025</v>
      </c>
      <c r="C20" s="95">
        <v>22</v>
      </c>
      <c r="D20" s="94" t="s">
        <v>288</v>
      </c>
      <c r="E20" s="94" t="s">
        <v>268</v>
      </c>
      <c r="F20" s="95">
        <v>11</v>
      </c>
      <c r="G20" s="95">
        <v>1</v>
      </c>
      <c r="H20" s="95">
        <v>9</v>
      </c>
      <c r="I20" s="94" t="s">
        <v>387</v>
      </c>
      <c r="J20" s="94" t="s">
        <v>389</v>
      </c>
      <c r="K20" s="154">
        <v>-70</v>
      </c>
    </row>
    <row r="21" spans="1:11" hidden="1" x14ac:dyDescent="0.2">
      <c r="A21" s="94" t="s">
        <v>265</v>
      </c>
      <c r="B21" s="95">
        <v>2025</v>
      </c>
      <c r="C21" s="95">
        <v>23</v>
      </c>
      <c r="D21" s="94" t="s">
        <v>289</v>
      </c>
      <c r="E21" s="94" t="s">
        <v>268</v>
      </c>
      <c r="F21" s="95">
        <v>11</v>
      </c>
      <c r="G21" s="95">
        <v>0</v>
      </c>
      <c r="H21" s="95">
        <v>8</v>
      </c>
      <c r="I21" s="94" t="s">
        <v>387</v>
      </c>
      <c r="J21" s="94" t="s">
        <v>388</v>
      </c>
      <c r="K21" s="154">
        <v>9737.9</v>
      </c>
    </row>
    <row r="22" spans="1:11" x14ac:dyDescent="0.2">
      <c r="A22" s="94" t="s">
        <v>265</v>
      </c>
      <c r="B22" s="95">
        <v>2025</v>
      </c>
      <c r="C22" s="95">
        <v>23</v>
      </c>
      <c r="D22" s="94" t="s">
        <v>289</v>
      </c>
      <c r="E22" s="94" t="s">
        <v>268</v>
      </c>
      <c r="F22" s="95">
        <v>11</v>
      </c>
      <c r="G22" s="95">
        <v>1</v>
      </c>
      <c r="H22" s="95">
        <v>13</v>
      </c>
      <c r="I22" s="94" t="s">
        <v>387</v>
      </c>
      <c r="J22" s="94" t="s">
        <v>390</v>
      </c>
      <c r="K22" s="154">
        <v>-118679.03999999999</v>
      </c>
    </row>
    <row r="23" spans="1:11" x14ac:dyDescent="0.2">
      <c r="A23" s="94" t="s">
        <v>265</v>
      </c>
      <c r="B23" s="95">
        <v>2025</v>
      </c>
      <c r="C23" s="95">
        <v>23</v>
      </c>
      <c r="D23" s="94" t="s">
        <v>289</v>
      </c>
      <c r="E23" s="94" t="s">
        <v>268</v>
      </c>
      <c r="F23" s="95">
        <v>11</v>
      </c>
      <c r="G23" s="95">
        <v>2</v>
      </c>
      <c r="H23" s="95">
        <v>13</v>
      </c>
      <c r="I23" s="94" t="s">
        <v>387</v>
      </c>
      <c r="J23" s="94" t="s">
        <v>390</v>
      </c>
      <c r="K23" s="154">
        <v>-74666.95</v>
      </c>
    </row>
    <row r="24" spans="1:11" hidden="1" x14ac:dyDescent="0.2">
      <c r="A24" s="94" t="s">
        <v>265</v>
      </c>
      <c r="B24" s="95">
        <v>2025</v>
      </c>
      <c r="C24" s="95">
        <v>24</v>
      </c>
      <c r="D24" s="94" t="s">
        <v>290</v>
      </c>
      <c r="E24" s="94" t="s">
        <v>268</v>
      </c>
      <c r="F24" s="95">
        <v>11</v>
      </c>
      <c r="G24" s="95">
        <v>0</v>
      </c>
      <c r="H24" s="95">
        <v>8</v>
      </c>
      <c r="I24" s="94" t="s">
        <v>387</v>
      </c>
      <c r="J24" s="94" t="s">
        <v>388</v>
      </c>
      <c r="K24" s="154">
        <v>6365.38</v>
      </c>
    </row>
    <row r="25" spans="1:11" hidden="1" x14ac:dyDescent="0.2">
      <c r="A25" s="94" t="s">
        <v>265</v>
      </c>
      <c r="B25" s="95">
        <v>2025</v>
      </c>
      <c r="C25" s="95">
        <v>26</v>
      </c>
      <c r="D25" s="94" t="s">
        <v>291</v>
      </c>
      <c r="E25" s="94" t="s">
        <v>268</v>
      </c>
      <c r="F25" s="95">
        <v>11</v>
      </c>
      <c r="G25" s="95">
        <v>0</v>
      </c>
      <c r="H25" s="95">
        <v>8</v>
      </c>
      <c r="I25" s="94" t="s">
        <v>387</v>
      </c>
      <c r="J25" s="94" t="s">
        <v>388</v>
      </c>
      <c r="K25" s="154">
        <v>6631.63</v>
      </c>
    </row>
    <row r="26" spans="1:11" hidden="1" x14ac:dyDescent="0.2">
      <c r="A26" s="94" t="s">
        <v>265</v>
      </c>
      <c r="B26" s="95">
        <v>2025</v>
      </c>
      <c r="C26" s="95">
        <v>27</v>
      </c>
      <c r="D26" s="94" t="s">
        <v>292</v>
      </c>
      <c r="E26" s="94" t="s">
        <v>268</v>
      </c>
      <c r="F26" s="95">
        <v>11</v>
      </c>
      <c r="G26" s="95">
        <v>0</v>
      </c>
      <c r="H26" s="95">
        <v>8</v>
      </c>
      <c r="I26" s="94" t="s">
        <v>387</v>
      </c>
      <c r="J26" s="94" t="s">
        <v>388</v>
      </c>
      <c r="K26" s="154">
        <v>6239.75</v>
      </c>
    </row>
    <row r="27" spans="1:11" x14ac:dyDescent="0.2">
      <c r="A27" s="94" t="s">
        <v>265</v>
      </c>
      <c r="B27" s="95">
        <v>2025</v>
      </c>
      <c r="C27" s="95">
        <v>27</v>
      </c>
      <c r="D27" s="94" t="s">
        <v>292</v>
      </c>
      <c r="E27" s="94" t="s">
        <v>268</v>
      </c>
      <c r="F27" s="95">
        <v>11</v>
      </c>
      <c r="G27" s="95">
        <v>1</v>
      </c>
      <c r="H27" s="95">
        <v>13</v>
      </c>
      <c r="I27" s="94" t="s">
        <v>387</v>
      </c>
      <c r="J27" s="94" t="s">
        <v>390</v>
      </c>
      <c r="K27" s="154">
        <v>-43762.62</v>
      </c>
    </row>
    <row r="28" spans="1:11" x14ac:dyDescent="0.2">
      <c r="A28" s="94" t="s">
        <v>265</v>
      </c>
      <c r="B28" s="95">
        <v>2025</v>
      </c>
      <c r="C28" s="95">
        <v>27</v>
      </c>
      <c r="D28" s="94" t="s">
        <v>292</v>
      </c>
      <c r="E28" s="94" t="s">
        <v>268</v>
      </c>
      <c r="F28" s="95">
        <v>11</v>
      </c>
      <c r="G28" s="95">
        <v>2</v>
      </c>
      <c r="H28" s="95">
        <v>13</v>
      </c>
      <c r="I28" s="94" t="s">
        <v>387</v>
      </c>
      <c r="J28" s="94" t="s">
        <v>390</v>
      </c>
      <c r="K28" s="154">
        <v>-11182.94</v>
      </c>
    </row>
    <row r="29" spans="1:11" hidden="1" x14ac:dyDescent="0.2">
      <c r="A29" s="94" t="s">
        <v>265</v>
      </c>
      <c r="B29" s="95">
        <v>2025</v>
      </c>
      <c r="C29" s="95">
        <v>28</v>
      </c>
      <c r="D29" s="94" t="s">
        <v>293</v>
      </c>
      <c r="E29" s="94" t="s">
        <v>268</v>
      </c>
      <c r="F29" s="95">
        <v>11</v>
      </c>
      <c r="G29" s="95">
        <v>0</v>
      </c>
      <c r="H29" s="95">
        <v>8</v>
      </c>
      <c r="I29" s="94" t="s">
        <v>387</v>
      </c>
      <c r="J29" s="94" t="s">
        <v>388</v>
      </c>
      <c r="K29" s="154">
        <v>6525</v>
      </c>
    </row>
    <row r="30" spans="1:11" x14ac:dyDescent="0.2">
      <c r="A30" s="94" t="s">
        <v>265</v>
      </c>
      <c r="B30" s="95">
        <v>2025</v>
      </c>
      <c r="C30" s="95">
        <v>28</v>
      </c>
      <c r="D30" s="94" t="s">
        <v>293</v>
      </c>
      <c r="E30" s="94" t="s">
        <v>268</v>
      </c>
      <c r="F30" s="95">
        <v>11</v>
      </c>
      <c r="G30" s="95">
        <v>1</v>
      </c>
      <c r="H30" s="95">
        <v>13</v>
      </c>
      <c r="I30" s="94" t="s">
        <v>387</v>
      </c>
      <c r="J30" s="94" t="s">
        <v>390</v>
      </c>
      <c r="K30" s="154">
        <v>-34206.699999999997</v>
      </c>
    </row>
    <row r="31" spans="1:11" x14ac:dyDescent="0.2">
      <c r="A31" s="94" t="s">
        <v>265</v>
      </c>
      <c r="B31" s="95">
        <v>2025</v>
      </c>
      <c r="C31" s="95">
        <v>28</v>
      </c>
      <c r="D31" s="94" t="s">
        <v>293</v>
      </c>
      <c r="E31" s="94" t="s">
        <v>268</v>
      </c>
      <c r="F31" s="95">
        <v>11</v>
      </c>
      <c r="G31" s="95">
        <v>2</v>
      </c>
      <c r="H31" s="95">
        <v>13</v>
      </c>
      <c r="I31" s="94" t="s">
        <v>387</v>
      </c>
      <c r="J31" s="94" t="s">
        <v>390</v>
      </c>
      <c r="K31" s="154">
        <v>-7539.22</v>
      </c>
    </row>
    <row r="32" spans="1:11" hidden="1" x14ac:dyDescent="0.2">
      <c r="A32" s="94" t="s">
        <v>265</v>
      </c>
      <c r="B32" s="95">
        <v>2025</v>
      </c>
      <c r="C32" s="95">
        <v>30</v>
      </c>
      <c r="D32" s="94" t="s">
        <v>294</v>
      </c>
      <c r="E32" s="94" t="s">
        <v>268</v>
      </c>
      <c r="F32" s="95">
        <v>11</v>
      </c>
      <c r="G32" s="95">
        <v>0</v>
      </c>
      <c r="H32" s="95">
        <v>8</v>
      </c>
      <c r="I32" s="94" t="s">
        <v>387</v>
      </c>
      <c r="J32" s="94" t="s">
        <v>388</v>
      </c>
      <c r="K32" s="154">
        <v>406.92</v>
      </c>
    </row>
    <row r="33" spans="1:11" hidden="1" x14ac:dyDescent="0.2">
      <c r="A33" s="94" t="s">
        <v>265</v>
      </c>
      <c r="B33" s="95">
        <v>2025</v>
      </c>
      <c r="C33" s="95">
        <v>30</v>
      </c>
      <c r="D33" s="94" t="s">
        <v>294</v>
      </c>
      <c r="E33" s="94" t="s">
        <v>268</v>
      </c>
      <c r="F33" s="95">
        <v>11</v>
      </c>
      <c r="G33" s="95">
        <v>1</v>
      </c>
      <c r="H33" s="95">
        <v>9</v>
      </c>
      <c r="I33" s="94" t="s">
        <v>387</v>
      </c>
      <c r="J33" s="94" t="s">
        <v>389</v>
      </c>
      <c r="K33" s="154">
        <v>-40</v>
      </c>
    </row>
    <row r="34" spans="1:11" hidden="1" x14ac:dyDescent="0.2">
      <c r="A34" s="94" t="s">
        <v>265</v>
      </c>
      <c r="B34" s="95">
        <v>2025</v>
      </c>
      <c r="C34" s="95">
        <v>35</v>
      </c>
      <c r="D34" s="94" t="s">
        <v>297</v>
      </c>
      <c r="E34" s="94" t="s">
        <v>298</v>
      </c>
      <c r="F34" s="95">
        <v>11</v>
      </c>
      <c r="G34" s="95">
        <v>0</v>
      </c>
      <c r="H34" s="95">
        <v>8</v>
      </c>
      <c r="I34" s="94" t="s">
        <v>387</v>
      </c>
      <c r="J34" s="94" t="s">
        <v>388</v>
      </c>
      <c r="K34" s="154">
        <v>1470.97</v>
      </c>
    </row>
    <row r="35" spans="1:11" hidden="1" x14ac:dyDescent="0.2">
      <c r="A35" s="94" t="s">
        <v>265</v>
      </c>
      <c r="B35" s="95">
        <v>2025</v>
      </c>
      <c r="C35" s="95">
        <v>36</v>
      </c>
      <c r="D35" s="94" t="s">
        <v>299</v>
      </c>
      <c r="E35" s="94" t="s">
        <v>268</v>
      </c>
      <c r="F35" s="95">
        <v>11</v>
      </c>
      <c r="G35" s="95">
        <v>0</v>
      </c>
      <c r="H35" s="95">
        <v>8</v>
      </c>
      <c r="I35" s="94" t="s">
        <v>387</v>
      </c>
      <c r="J35" s="94" t="s">
        <v>388</v>
      </c>
      <c r="K35" s="154">
        <v>4128.71</v>
      </c>
    </row>
    <row r="36" spans="1:11" hidden="1" x14ac:dyDescent="0.2">
      <c r="A36" s="94" t="s">
        <v>265</v>
      </c>
      <c r="B36" s="95">
        <v>2025</v>
      </c>
      <c r="C36" s="95">
        <v>38</v>
      </c>
      <c r="D36" s="94" t="s">
        <v>300</v>
      </c>
      <c r="E36" s="94" t="s">
        <v>268</v>
      </c>
      <c r="F36" s="95">
        <v>11</v>
      </c>
      <c r="G36" s="95">
        <v>0</v>
      </c>
      <c r="H36" s="95">
        <v>8</v>
      </c>
      <c r="I36" s="94" t="s">
        <v>387</v>
      </c>
      <c r="J36" s="94" t="s">
        <v>388</v>
      </c>
      <c r="K36" s="154">
        <v>7018.49</v>
      </c>
    </row>
    <row r="37" spans="1:11" hidden="1" x14ac:dyDescent="0.2">
      <c r="A37" s="94" t="s">
        <v>265</v>
      </c>
      <c r="B37" s="95">
        <v>2025</v>
      </c>
      <c r="C37" s="95">
        <v>41</v>
      </c>
      <c r="D37" s="94" t="s">
        <v>301</v>
      </c>
      <c r="E37" s="94" t="s">
        <v>268</v>
      </c>
      <c r="F37" s="95">
        <v>11</v>
      </c>
      <c r="G37" s="95">
        <v>0</v>
      </c>
      <c r="H37" s="95">
        <v>8</v>
      </c>
      <c r="I37" s="94" t="s">
        <v>387</v>
      </c>
      <c r="J37" s="94" t="s">
        <v>388</v>
      </c>
      <c r="K37" s="154">
        <v>8666.19</v>
      </c>
    </row>
    <row r="38" spans="1:11" hidden="1" x14ac:dyDescent="0.2">
      <c r="A38" s="94" t="s">
        <v>265</v>
      </c>
      <c r="B38" s="95">
        <v>2025</v>
      </c>
      <c r="C38" s="95">
        <v>42</v>
      </c>
      <c r="D38" s="94" t="s">
        <v>303</v>
      </c>
      <c r="E38" s="94" t="s">
        <v>268</v>
      </c>
      <c r="F38" s="95">
        <v>11</v>
      </c>
      <c r="G38" s="95">
        <v>0</v>
      </c>
      <c r="H38" s="95">
        <v>8</v>
      </c>
      <c r="I38" s="94" t="s">
        <v>387</v>
      </c>
      <c r="J38" s="94" t="s">
        <v>388</v>
      </c>
      <c r="K38" s="154">
        <v>6682.5</v>
      </c>
    </row>
    <row r="39" spans="1:11" hidden="1" x14ac:dyDescent="0.2">
      <c r="A39" s="94" t="s">
        <v>265</v>
      </c>
      <c r="B39" s="95">
        <v>2025</v>
      </c>
      <c r="C39" s="95">
        <v>45</v>
      </c>
      <c r="D39" s="94" t="s">
        <v>305</v>
      </c>
      <c r="E39" s="94" t="s">
        <v>268</v>
      </c>
      <c r="F39" s="95">
        <v>11</v>
      </c>
      <c r="G39" s="95">
        <v>0</v>
      </c>
      <c r="H39" s="95">
        <v>8</v>
      </c>
      <c r="I39" s="94" t="s">
        <v>387</v>
      </c>
      <c r="J39" s="94" t="s">
        <v>388</v>
      </c>
      <c r="K39" s="154">
        <v>6114.06</v>
      </c>
    </row>
    <row r="40" spans="1:11" x14ac:dyDescent="0.2">
      <c r="A40" s="94" t="s">
        <v>265</v>
      </c>
      <c r="B40" s="95">
        <v>2025</v>
      </c>
      <c r="C40" s="95">
        <v>45</v>
      </c>
      <c r="D40" s="94" t="s">
        <v>305</v>
      </c>
      <c r="E40" s="94" t="s">
        <v>268</v>
      </c>
      <c r="F40" s="95">
        <v>11</v>
      </c>
      <c r="G40" s="95">
        <v>1</v>
      </c>
      <c r="H40" s="95">
        <v>13</v>
      </c>
      <c r="I40" s="94" t="s">
        <v>387</v>
      </c>
      <c r="J40" s="94" t="s">
        <v>390</v>
      </c>
      <c r="K40" s="154">
        <v>-43563.97</v>
      </c>
    </row>
    <row r="41" spans="1:11" x14ac:dyDescent="0.2">
      <c r="A41" s="94" t="s">
        <v>265</v>
      </c>
      <c r="B41" s="95">
        <v>2025</v>
      </c>
      <c r="C41" s="95">
        <v>45</v>
      </c>
      <c r="D41" s="94" t="s">
        <v>305</v>
      </c>
      <c r="E41" s="94" t="s">
        <v>268</v>
      </c>
      <c r="F41" s="95">
        <v>11</v>
      </c>
      <c r="G41" s="95">
        <v>2</v>
      </c>
      <c r="H41" s="95">
        <v>13</v>
      </c>
      <c r="I41" s="94" t="s">
        <v>387</v>
      </c>
      <c r="J41" s="94" t="s">
        <v>390</v>
      </c>
      <c r="K41" s="154">
        <v>-9014.7000000000007</v>
      </c>
    </row>
    <row r="42" spans="1:11" hidden="1" x14ac:dyDescent="0.2">
      <c r="A42" s="94" t="s">
        <v>265</v>
      </c>
      <c r="B42" s="95">
        <v>2025</v>
      </c>
      <c r="C42" s="95">
        <v>47</v>
      </c>
      <c r="D42" s="94" t="s">
        <v>306</v>
      </c>
      <c r="E42" s="94" t="s">
        <v>268</v>
      </c>
      <c r="F42" s="95">
        <v>11</v>
      </c>
      <c r="G42" s="95">
        <v>0</v>
      </c>
      <c r="H42" s="95">
        <v>8</v>
      </c>
      <c r="I42" s="94" t="s">
        <v>387</v>
      </c>
      <c r="J42" s="94" t="s">
        <v>388</v>
      </c>
      <c r="K42" s="154">
        <v>6611.25</v>
      </c>
    </row>
    <row r="43" spans="1:11" hidden="1" x14ac:dyDescent="0.2">
      <c r="A43" s="94" t="s">
        <v>265</v>
      </c>
      <c r="B43" s="95">
        <v>2025</v>
      </c>
      <c r="C43" s="95">
        <v>47</v>
      </c>
      <c r="D43" s="94" t="s">
        <v>306</v>
      </c>
      <c r="E43" s="94" t="s">
        <v>268</v>
      </c>
      <c r="F43" s="95">
        <v>11</v>
      </c>
      <c r="G43" s="95">
        <v>1</v>
      </c>
      <c r="H43" s="95">
        <v>9</v>
      </c>
      <c r="I43" s="94" t="s">
        <v>387</v>
      </c>
      <c r="J43" s="94" t="s">
        <v>389</v>
      </c>
      <c r="K43" s="154">
        <v>-168</v>
      </c>
    </row>
    <row r="44" spans="1:11" x14ac:dyDescent="0.2">
      <c r="A44" s="94" t="s">
        <v>265</v>
      </c>
      <c r="B44" s="95">
        <v>2025</v>
      </c>
      <c r="C44" s="95">
        <v>47</v>
      </c>
      <c r="D44" s="94" t="s">
        <v>306</v>
      </c>
      <c r="E44" s="94" t="s">
        <v>268</v>
      </c>
      <c r="F44" s="95">
        <v>11</v>
      </c>
      <c r="G44" s="95">
        <v>2</v>
      </c>
      <c r="H44" s="95">
        <v>13</v>
      </c>
      <c r="I44" s="94" t="s">
        <v>387</v>
      </c>
      <c r="J44" s="94" t="s">
        <v>390</v>
      </c>
      <c r="K44" s="154">
        <v>-78634.69</v>
      </c>
    </row>
    <row r="45" spans="1:11" x14ac:dyDescent="0.2">
      <c r="A45" s="94" t="s">
        <v>265</v>
      </c>
      <c r="B45" s="95">
        <v>2025</v>
      </c>
      <c r="C45" s="95">
        <v>47</v>
      </c>
      <c r="D45" s="94" t="s">
        <v>306</v>
      </c>
      <c r="E45" s="94" t="s">
        <v>268</v>
      </c>
      <c r="F45" s="95">
        <v>11</v>
      </c>
      <c r="G45" s="95">
        <v>3</v>
      </c>
      <c r="H45" s="95">
        <v>13</v>
      </c>
      <c r="I45" s="94" t="s">
        <v>387</v>
      </c>
      <c r="J45" s="94" t="s">
        <v>390</v>
      </c>
      <c r="K45" s="154">
        <v>-21300.99</v>
      </c>
    </row>
    <row r="46" spans="1:11" hidden="1" x14ac:dyDescent="0.2">
      <c r="A46" s="94" t="s">
        <v>265</v>
      </c>
      <c r="B46" s="95">
        <v>2025</v>
      </c>
      <c r="C46" s="95">
        <v>53</v>
      </c>
      <c r="D46" s="94" t="s">
        <v>307</v>
      </c>
      <c r="E46" s="94" t="s">
        <v>268</v>
      </c>
      <c r="F46" s="95">
        <v>11</v>
      </c>
      <c r="G46" s="95">
        <v>0</v>
      </c>
      <c r="H46" s="95">
        <v>8</v>
      </c>
      <c r="I46" s="94" t="s">
        <v>387</v>
      </c>
      <c r="J46" s="94" t="s">
        <v>388</v>
      </c>
      <c r="K46" s="154">
        <v>4149.9799999999996</v>
      </c>
    </row>
    <row r="47" spans="1:11" hidden="1" x14ac:dyDescent="0.2">
      <c r="A47" s="94" t="s">
        <v>265</v>
      </c>
      <c r="B47" s="95">
        <v>2025</v>
      </c>
      <c r="C47" s="95">
        <v>53</v>
      </c>
      <c r="D47" s="94" t="s">
        <v>307</v>
      </c>
      <c r="E47" s="94" t="s">
        <v>268</v>
      </c>
      <c r="F47" s="95">
        <v>11</v>
      </c>
      <c r="G47" s="95">
        <v>1</v>
      </c>
      <c r="H47" s="95">
        <v>9</v>
      </c>
      <c r="I47" s="94" t="s">
        <v>387</v>
      </c>
      <c r="J47" s="94" t="s">
        <v>389</v>
      </c>
      <c r="K47" s="154">
        <v>-248</v>
      </c>
    </row>
    <row r="48" spans="1:11" hidden="1" x14ac:dyDescent="0.2">
      <c r="A48" s="94" t="s">
        <v>265</v>
      </c>
      <c r="B48" s="95">
        <v>2025</v>
      </c>
      <c r="C48" s="95">
        <v>54</v>
      </c>
      <c r="D48" s="94" t="s">
        <v>308</v>
      </c>
      <c r="E48" s="94" t="s">
        <v>268</v>
      </c>
      <c r="F48" s="95">
        <v>11</v>
      </c>
      <c r="G48" s="95">
        <v>0</v>
      </c>
      <c r="H48" s="95">
        <v>8</v>
      </c>
      <c r="I48" s="94" t="s">
        <v>387</v>
      </c>
      <c r="J48" s="94" t="s">
        <v>388</v>
      </c>
      <c r="K48" s="154">
        <v>5233.53</v>
      </c>
    </row>
    <row r="49" spans="1:11" hidden="1" x14ac:dyDescent="0.2">
      <c r="A49" s="94" t="s">
        <v>265</v>
      </c>
      <c r="B49" s="95">
        <v>2025</v>
      </c>
      <c r="C49" s="95">
        <v>54</v>
      </c>
      <c r="D49" s="94" t="s">
        <v>308</v>
      </c>
      <c r="E49" s="94" t="s">
        <v>268</v>
      </c>
      <c r="F49" s="95">
        <v>11</v>
      </c>
      <c r="G49" s="95">
        <v>1</v>
      </c>
      <c r="H49" s="95">
        <v>9</v>
      </c>
      <c r="I49" s="94" t="s">
        <v>387</v>
      </c>
      <c r="J49" s="94" t="s">
        <v>389</v>
      </c>
      <c r="K49" s="154">
        <v>-70</v>
      </c>
    </row>
    <row r="50" spans="1:11" x14ac:dyDescent="0.2">
      <c r="A50" s="94" t="s">
        <v>265</v>
      </c>
      <c r="B50" s="95">
        <v>2025</v>
      </c>
      <c r="C50" s="95">
        <v>54</v>
      </c>
      <c r="D50" s="94" t="s">
        <v>308</v>
      </c>
      <c r="E50" s="94" t="s">
        <v>268</v>
      </c>
      <c r="F50" s="95">
        <v>11</v>
      </c>
      <c r="G50" s="95">
        <v>2</v>
      </c>
      <c r="H50" s="95">
        <v>13</v>
      </c>
      <c r="I50" s="94" t="s">
        <v>387</v>
      </c>
      <c r="J50" s="94" t="s">
        <v>390</v>
      </c>
      <c r="K50" s="154">
        <v>-150209.18</v>
      </c>
    </row>
    <row r="51" spans="1:11" x14ac:dyDescent="0.2">
      <c r="A51" s="94" t="s">
        <v>265</v>
      </c>
      <c r="B51" s="95">
        <v>2025</v>
      </c>
      <c r="C51" s="95">
        <v>54</v>
      </c>
      <c r="D51" s="94" t="s">
        <v>308</v>
      </c>
      <c r="E51" s="94" t="s">
        <v>268</v>
      </c>
      <c r="F51" s="95">
        <v>11</v>
      </c>
      <c r="G51" s="95">
        <v>3</v>
      </c>
      <c r="H51" s="95">
        <v>13</v>
      </c>
      <c r="I51" s="94" t="s">
        <v>387</v>
      </c>
      <c r="J51" s="94" t="s">
        <v>390</v>
      </c>
      <c r="K51" s="154">
        <v>-88719.09</v>
      </c>
    </row>
    <row r="52" spans="1:11" hidden="1" x14ac:dyDescent="0.2">
      <c r="A52" s="94" t="s">
        <v>265</v>
      </c>
      <c r="B52" s="95">
        <v>2025</v>
      </c>
      <c r="C52" s="95">
        <v>55</v>
      </c>
      <c r="D52" s="94" t="s">
        <v>309</v>
      </c>
      <c r="E52" s="94" t="s">
        <v>268</v>
      </c>
      <c r="F52" s="95">
        <v>11</v>
      </c>
      <c r="G52" s="95">
        <v>0</v>
      </c>
      <c r="H52" s="95">
        <v>8</v>
      </c>
      <c r="I52" s="94" t="s">
        <v>387</v>
      </c>
      <c r="J52" s="94" t="s">
        <v>388</v>
      </c>
      <c r="K52" s="154">
        <v>6487.83</v>
      </c>
    </row>
    <row r="53" spans="1:11" x14ac:dyDescent="0.2">
      <c r="A53" s="94" t="s">
        <v>265</v>
      </c>
      <c r="B53" s="95">
        <v>2025</v>
      </c>
      <c r="C53" s="95">
        <v>55</v>
      </c>
      <c r="D53" s="94" t="s">
        <v>309</v>
      </c>
      <c r="E53" s="94" t="s">
        <v>268</v>
      </c>
      <c r="F53" s="95">
        <v>11</v>
      </c>
      <c r="G53" s="95">
        <v>1</v>
      </c>
      <c r="H53" s="95">
        <v>13</v>
      </c>
      <c r="I53" s="94" t="s">
        <v>387</v>
      </c>
      <c r="J53" s="94" t="s">
        <v>390</v>
      </c>
      <c r="K53" s="154">
        <v>-153268.91</v>
      </c>
    </row>
    <row r="54" spans="1:11" x14ac:dyDescent="0.2">
      <c r="A54" s="94" t="s">
        <v>265</v>
      </c>
      <c r="B54" s="95">
        <v>2025</v>
      </c>
      <c r="C54" s="95">
        <v>55</v>
      </c>
      <c r="D54" s="94" t="s">
        <v>309</v>
      </c>
      <c r="E54" s="94" t="s">
        <v>268</v>
      </c>
      <c r="F54" s="95">
        <v>11</v>
      </c>
      <c r="G54" s="95">
        <v>2</v>
      </c>
      <c r="H54" s="95">
        <v>13</v>
      </c>
      <c r="I54" s="94" t="s">
        <v>387</v>
      </c>
      <c r="J54" s="94" t="s">
        <v>390</v>
      </c>
      <c r="K54" s="154">
        <v>-76393.440000000002</v>
      </c>
    </row>
    <row r="55" spans="1:11" hidden="1" x14ac:dyDescent="0.2">
      <c r="A55" s="94" t="s">
        <v>265</v>
      </c>
      <c r="B55" s="95">
        <v>2025</v>
      </c>
      <c r="C55" s="95">
        <v>56</v>
      </c>
      <c r="D55" s="94" t="s">
        <v>310</v>
      </c>
      <c r="E55" s="94" t="s">
        <v>268</v>
      </c>
      <c r="F55" s="95">
        <v>11</v>
      </c>
      <c r="G55" s="95">
        <v>0</v>
      </c>
      <c r="H55" s="95">
        <v>8</v>
      </c>
      <c r="I55" s="94" t="s">
        <v>387</v>
      </c>
      <c r="J55" s="94" t="s">
        <v>388</v>
      </c>
      <c r="K55" s="154">
        <v>4617.67</v>
      </c>
    </row>
    <row r="56" spans="1:11" x14ac:dyDescent="0.2">
      <c r="A56" s="94" t="s">
        <v>265</v>
      </c>
      <c r="B56" s="95">
        <v>2025</v>
      </c>
      <c r="C56" s="95">
        <v>56</v>
      </c>
      <c r="D56" s="94" t="s">
        <v>310</v>
      </c>
      <c r="E56" s="94" t="s">
        <v>268</v>
      </c>
      <c r="F56" s="95">
        <v>11</v>
      </c>
      <c r="G56" s="95">
        <v>1</v>
      </c>
      <c r="H56" s="95">
        <v>13</v>
      </c>
      <c r="I56" s="94" t="s">
        <v>387</v>
      </c>
      <c r="J56" s="94" t="s">
        <v>390</v>
      </c>
      <c r="K56" s="154">
        <v>-152503.35999999999</v>
      </c>
    </row>
    <row r="57" spans="1:11" x14ac:dyDescent="0.2">
      <c r="A57" s="94" t="s">
        <v>265</v>
      </c>
      <c r="B57" s="95">
        <v>2025</v>
      </c>
      <c r="C57" s="95">
        <v>56</v>
      </c>
      <c r="D57" s="94" t="s">
        <v>310</v>
      </c>
      <c r="E57" s="94" t="s">
        <v>268</v>
      </c>
      <c r="F57" s="95">
        <v>11</v>
      </c>
      <c r="G57" s="95">
        <v>2</v>
      </c>
      <c r="H57" s="95">
        <v>13</v>
      </c>
      <c r="I57" s="94" t="s">
        <v>387</v>
      </c>
      <c r="J57" s="94" t="s">
        <v>390</v>
      </c>
      <c r="K57" s="154">
        <v>-80704.83</v>
      </c>
    </row>
    <row r="58" spans="1:11" hidden="1" x14ac:dyDescent="0.2">
      <c r="A58" s="94" t="s">
        <v>265</v>
      </c>
      <c r="B58" s="95">
        <v>2025</v>
      </c>
      <c r="C58" s="95">
        <v>57</v>
      </c>
      <c r="D58" s="94" t="s">
        <v>311</v>
      </c>
      <c r="E58" s="94" t="s">
        <v>268</v>
      </c>
      <c r="F58" s="95">
        <v>11</v>
      </c>
      <c r="G58" s="95">
        <v>0</v>
      </c>
      <c r="H58" s="95">
        <v>8</v>
      </c>
      <c r="I58" s="94" t="s">
        <v>387</v>
      </c>
      <c r="J58" s="94" t="s">
        <v>388</v>
      </c>
      <c r="K58" s="154">
        <v>7075</v>
      </c>
    </row>
    <row r="59" spans="1:11" hidden="1" x14ac:dyDescent="0.2">
      <c r="A59" s="94" t="s">
        <v>265</v>
      </c>
      <c r="B59" s="95">
        <v>2025</v>
      </c>
      <c r="C59" s="95">
        <v>57</v>
      </c>
      <c r="D59" s="94" t="s">
        <v>311</v>
      </c>
      <c r="E59" s="94" t="s">
        <v>268</v>
      </c>
      <c r="F59" s="95">
        <v>11</v>
      </c>
      <c r="G59" s="95">
        <v>1</v>
      </c>
      <c r="H59" s="95">
        <v>9</v>
      </c>
      <c r="I59" s="94" t="s">
        <v>387</v>
      </c>
      <c r="J59" s="94" t="s">
        <v>389</v>
      </c>
      <c r="K59" s="154">
        <v>-100</v>
      </c>
    </row>
    <row r="60" spans="1:11" hidden="1" x14ac:dyDescent="0.2">
      <c r="A60" s="94" t="s">
        <v>265</v>
      </c>
      <c r="B60" s="95">
        <v>2025</v>
      </c>
      <c r="C60" s="95">
        <v>59</v>
      </c>
      <c r="D60" s="94" t="s">
        <v>312</v>
      </c>
      <c r="E60" s="94" t="s">
        <v>268</v>
      </c>
      <c r="F60" s="95">
        <v>11</v>
      </c>
      <c r="G60" s="95">
        <v>0</v>
      </c>
      <c r="H60" s="95">
        <v>8</v>
      </c>
      <c r="I60" s="94" t="s">
        <v>387</v>
      </c>
      <c r="J60" s="94" t="s">
        <v>388</v>
      </c>
      <c r="K60" s="154">
        <v>9080.0499999999993</v>
      </c>
    </row>
    <row r="61" spans="1:11" hidden="1" x14ac:dyDescent="0.2">
      <c r="A61" s="94" t="s">
        <v>265</v>
      </c>
      <c r="B61" s="95">
        <v>2025</v>
      </c>
      <c r="C61" s="95">
        <v>60</v>
      </c>
      <c r="D61" s="94" t="s">
        <v>313</v>
      </c>
      <c r="E61" s="94" t="s">
        <v>268</v>
      </c>
      <c r="F61" s="95">
        <v>11</v>
      </c>
      <c r="G61" s="95">
        <v>0</v>
      </c>
      <c r="H61" s="95">
        <v>8</v>
      </c>
      <c r="I61" s="94" t="s">
        <v>387</v>
      </c>
      <c r="J61" s="94" t="s">
        <v>388</v>
      </c>
      <c r="K61" s="154">
        <v>8749.98</v>
      </c>
    </row>
    <row r="62" spans="1:11" x14ac:dyDescent="0.2">
      <c r="A62" s="94" t="s">
        <v>265</v>
      </c>
      <c r="B62" s="95">
        <v>2025</v>
      </c>
      <c r="C62" s="95">
        <v>60</v>
      </c>
      <c r="D62" s="94" t="s">
        <v>313</v>
      </c>
      <c r="E62" s="94" t="s">
        <v>268</v>
      </c>
      <c r="F62" s="95">
        <v>11</v>
      </c>
      <c r="G62" s="95">
        <v>1</v>
      </c>
      <c r="H62" s="95">
        <v>13</v>
      </c>
      <c r="I62" s="94" t="s">
        <v>387</v>
      </c>
      <c r="J62" s="94" t="s">
        <v>390</v>
      </c>
      <c r="K62" s="154">
        <v>-287605.45</v>
      </c>
    </row>
    <row r="63" spans="1:11" x14ac:dyDescent="0.2">
      <c r="A63" s="94" t="s">
        <v>265</v>
      </c>
      <c r="B63" s="95">
        <v>2025</v>
      </c>
      <c r="C63" s="95">
        <v>60</v>
      </c>
      <c r="D63" s="94" t="s">
        <v>313</v>
      </c>
      <c r="E63" s="94" t="s">
        <v>268</v>
      </c>
      <c r="F63" s="95">
        <v>11</v>
      </c>
      <c r="G63" s="95">
        <v>2</v>
      </c>
      <c r="H63" s="95">
        <v>13</v>
      </c>
      <c r="I63" s="94" t="s">
        <v>387</v>
      </c>
      <c r="J63" s="94" t="s">
        <v>390</v>
      </c>
      <c r="K63" s="154">
        <v>-151740.74</v>
      </c>
    </row>
    <row r="64" spans="1:11" hidden="1" x14ac:dyDescent="0.2">
      <c r="A64" s="94" t="s">
        <v>265</v>
      </c>
      <c r="B64" s="95">
        <v>2025</v>
      </c>
      <c r="C64" s="95">
        <v>61</v>
      </c>
      <c r="D64" s="94" t="s">
        <v>314</v>
      </c>
      <c r="E64" s="94" t="s">
        <v>268</v>
      </c>
      <c r="F64" s="95">
        <v>11</v>
      </c>
      <c r="G64" s="95">
        <v>0</v>
      </c>
      <c r="H64" s="95">
        <v>8</v>
      </c>
      <c r="I64" s="94" t="s">
        <v>387</v>
      </c>
      <c r="J64" s="94" t="s">
        <v>388</v>
      </c>
      <c r="K64" s="154">
        <v>1956.67</v>
      </c>
    </row>
    <row r="65" spans="1:11" x14ac:dyDescent="0.2">
      <c r="A65" s="94" t="s">
        <v>265</v>
      </c>
      <c r="B65" s="95">
        <v>2025</v>
      </c>
      <c r="C65" s="95">
        <v>61</v>
      </c>
      <c r="D65" s="94" t="s">
        <v>314</v>
      </c>
      <c r="E65" s="94" t="s">
        <v>268</v>
      </c>
      <c r="F65" s="95">
        <v>11</v>
      </c>
      <c r="G65" s="95">
        <v>1</v>
      </c>
      <c r="H65" s="95">
        <v>13</v>
      </c>
      <c r="I65" s="94" t="s">
        <v>387</v>
      </c>
      <c r="J65" s="94" t="s">
        <v>390</v>
      </c>
      <c r="K65" s="154">
        <v>-29314.87</v>
      </c>
    </row>
    <row r="66" spans="1:11" x14ac:dyDescent="0.2">
      <c r="A66" s="94" t="s">
        <v>265</v>
      </c>
      <c r="B66" s="95">
        <v>2025</v>
      </c>
      <c r="C66" s="95">
        <v>61</v>
      </c>
      <c r="D66" s="94" t="s">
        <v>314</v>
      </c>
      <c r="E66" s="94" t="s">
        <v>268</v>
      </c>
      <c r="F66" s="95">
        <v>11</v>
      </c>
      <c r="G66" s="95">
        <v>2</v>
      </c>
      <c r="H66" s="95">
        <v>13</v>
      </c>
      <c r="I66" s="94" t="s">
        <v>387</v>
      </c>
      <c r="J66" s="94" t="s">
        <v>390</v>
      </c>
      <c r="K66" s="154">
        <v>-13292.38</v>
      </c>
    </row>
    <row r="67" spans="1:11" hidden="1" x14ac:dyDescent="0.2">
      <c r="A67" s="94" t="s">
        <v>265</v>
      </c>
      <c r="B67" s="95">
        <v>2025</v>
      </c>
      <c r="C67" s="95">
        <v>62</v>
      </c>
      <c r="D67" s="94" t="s">
        <v>315</v>
      </c>
      <c r="E67" s="94" t="s">
        <v>268</v>
      </c>
      <c r="F67" s="95">
        <v>11</v>
      </c>
      <c r="G67" s="95">
        <v>0</v>
      </c>
      <c r="H67" s="95">
        <v>8</v>
      </c>
      <c r="I67" s="94" t="s">
        <v>387</v>
      </c>
      <c r="J67" s="94" t="s">
        <v>388</v>
      </c>
      <c r="K67" s="154">
        <v>5425</v>
      </c>
    </row>
    <row r="68" spans="1:11" hidden="1" x14ac:dyDescent="0.2">
      <c r="A68" s="94" t="s">
        <v>265</v>
      </c>
      <c r="B68" s="95">
        <v>2025</v>
      </c>
      <c r="C68" s="95">
        <v>65</v>
      </c>
      <c r="D68" s="94" t="s">
        <v>316</v>
      </c>
      <c r="E68" s="94" t="s">
        <v>268</v>
      </c>
      <c r="F68" s="95">
        <v>11</v>
      </c>
      <c r="G68" s="95">
        <v>0</v>
      </c>
      <c r="H68" s="95">
        <v>8</v>
      </c>
      <c r="I68" s="94" t="s">
        <v>387</v>
      </c>
      <c r="J68" s="94" t="s">
        <v>388</v>
      </c>
      <c r="K68" s="154">
        <v>6053</v>
      </c>
    </row>
    <row r="69" spans="1:11" hidden="1" x14ac:dyDescent="0.2">
      <c r="A69" s="94" t="s">
        <v>265</v>
      </c>
      <c r="B69" s="95">
        <v>2025</v>
      </c>
      <c r="C69" s="95">
        <v>67</v>
      </c>
      <c r="D69" s="94" t="s">
        <v>317</v>
      </c>
      <c r="E69" s="94" t="s">
        <v>268</v>
      </c>
      <c r="F69" s="95">
        <v>11</v>
      </c>
      <c r="G69" s="95">
        <v>0</v>
      </c>
      <c r="H69" s="95">
        <v>8</v>
      </c>
      <c r="I69" s="94" t="s">
        <v>387</v>
      </c>
      <c r="J69" s="94" t="s">
        <v>388</v>
      </c>
      <c r="K69" s="154">
        <v>3133.33</v>
      </c>
    </row>
    <row r="70" spans="1:11" x14ac:dyDescent="0.2">
      <c r="A70" s="94" t="s">
        <v>265</v>
      </c>
      <c r="B70" s="95">
        <v>2025</v>
      </c>
      <c r="C70" s="95">
        <v>67</v>
      </c>
      <c r="D70" s="94" t="s">
        <v>317</v>
      </c>
      <c r="E70" s="94" t="s">
        <v>268</v>
      </c>
      <c r="F70" s="95">
        <v>11</v>
      </c>
      <c r="G70" s="95">
        <v>1</v>
      </c>
      <c r="H70" s="95">
        <v>13</v>
      </c>
      <c r="I70" s="94" t="s">
        <v>387</v>
      </c>
      <c r="J70" s="94" t="s">
        <v>390</v>
      </c>
      <c r="K70" s="154">
        <v>-5111.97</v>
      </c>
    </row>
    <row r="71" spans="1:11" x14ac:dyDescent="0.2">
      <c r="A71" s="94" t="s">
        <v>265</v>
      </c>
      <c r="B71" s="95">
        <v>2025</v>
      </c>
      <c r="C71" s="95">
        <v>67</v>
      </c>
      <c r="D71" s="94" t="s">
        <v>317</v>
      </c>
      <c r="E71" s="94" t="s">
        <v>268</v>
      </c>
      <c r="F71" s="95">
        <v>11</v>
      </c>
      <c r="G71" s="95">
        <v>2</v>
      </c>
      <c r="H71" s="95">
        <v>13</v>
      </c>
      <c r="I71" s="94" t="s">
        <v>387</v>
      </c>
      <c r="J71" s="94" t="s">
        <v>390</v>
      </c>
      <c r="K71" s="154">
        <v>-5147.74</v>
      </c>
    </row>
    <row r="72" spans="1:11" hidden="1" x14ac:dyDescent="0.2">
      <c r="A72" s="94" t="s">
        <v>265</v>
      </c>
      <c r="B72" s="95">
        <v>2025</v>
      </c>
      <c r="C72" s="95">
        <v>68</v>
      </c>
      <c r="D72" s="94" t="s">
        <v>318</v>
      </c>
      <c r="E72" s="94" t="s">
        <v>268</v>
      </c>
      <c r="F72" s="95">
        <v>11</v>
      </c>
      <c r="G72" s="95">
        <v>0</v>
      </c>
      <c r="H72" s="95">
        <v>8</v>
      </c>
      <c r="I72" s="94" t="s">
        <v>387</v>
      </c>
      <c r="J72" s="94" t="s">
        <v>388</v>
      </c>
      <c r="K72" s="154">
        <v>5290</v>
      </c>
    </row>
    <row r="73" spans="1:11" x14ac:dyDescent="0.2">
      <c r="A73" s="94" t="s">
        <v>265</v>
      </c>
      <c r="B73" s="95">
        <v>2025</v>
      </c>
      <c r="C73" s="95">
        <v>68</v>
      </c>
      <c r="D73" s="94" t="s">
        <v>318</v>
      </c>
      <c r="E73" s="94" t="s">
        <v>268</v>
      </c>
      <c r="F73" s="95">
        <v>11</v>
      </c>
      <c r="G73" s="95">
        <v>1</v>
      </c>
      <c r="H73" s="95">
        <v>13</v>
      </c>
      <c r="I73" s="94" t="s">
        <v>387</v>
      </c>
      <c r="J73" s="94" t="s">
        <v>390</v>
      </c>
      <c r="K73" s="154">
        <v>-125464.73</v>
      </c>
    </row>
    <row r="74" spans="1:11" x14ac:dyDescent="0.2">
      <c r="A74" s="94" t="s">
        <v>265</v>
      </c>
      <c r="B74" s="95">
        <v>2025</v>
      </c>
      <c r="C74" s="95">
        <v>68</v>
      </c>
      <c r="D74" s="94" t="s">
        <v>318</v>
      </c>
      <c r="E74" s="94" t="s">
        <v>268</v>
      </c>
      <c r="F74" s="95">
        <v>11</v>
      </c>
      <c r="G74" s="95">
        <v>2</v>
      </c>
      <c r="H74" s="95">
        <v>13</v>
      </c>
      <c r="I74" s="94" t="s">
        <v>387</v>
      </c>
      <c r="J74" s="94" t="s">
        <v>390</v>
      </c>
      <c r="K74" s="154">
        <v>-59833.440000000002</v>
      </c>
    </row>
    <row r="75" spans="1:11" x14ac:dyDescent="0.2">
      <c r="A75" s="94" t="s">
        <v>265</v>
      </c>
      <c r="B75" s="95">
        <v>2025</v>
      </c>
      <c r="C75" s="95">
        <v>68</v>
      </c>
      <c r="D75" s="94" t="s">
        <v>318</v>
      </c>
      <c r="E75" s="94" t="s">
        <v>268</v>
      </c>
      <c r="F75" s="95">
        <v>11</v>
      </c>
      <c r="G75" s="95">
        <v>3</v>
      </c>
      <c r="H75" s="95">
        <v>16</v>
      </c>
      <c r="I75" s="94" t="s">
        <v>387</v>
      </c>
      <c r="J75" s="94" t="s">
        <v>391</v>
      </c>
      <c r="K75" s="154">
        <v>-8897.17</v>
      </c>
    </row>
    <row r="76" spans="1:11" x14ac:dyDescent="0.2">
      <c r="A76" s="94" t="s">
        <v>265</v>
      </c>
      <c r="B76" s="95">
        <v>2025</v>
      </c>
      <c r="C76" s="95">
        <v>68</v>
      </c>
      <c r="D76" s="94" t="s">
        <v>318</v>
      </c>
      <c r="E76" s="94" t="s">
        <v>268</v>
      </c>
      <c r="F76" s="95">
        <v>11</v>
      </c>
      <c r="G76" s="95">
        <v>4</v>
      </c>
      <c r="H76" s="95">
        <v>16</v>
      </c>
      <c r="I76" s="94" t="s">
        <v>387</v>
      </c>
      <c r="J76" s="94" t="s">
        <v>391</v>
      </c>
      <c r="K76" s="154">
        <v>-12443.18</v>
      </c>
    </row>
    <row r="77" spans="1:11" hidden="1" x14ac:dyDescent="0.2">
      <c r="A77" s="94" t="s">
        <v>265</v>
      </c>
      <c r="B77" s="95">
        <v>2025</v>
      </c>
      <c r="C77" s="95">
        <v>69</v>
      </c>
      <c r="D77" s="94" t="s">
        <v>321</v>
      </c>
      <c r="E77" s="94" t="s">
        <v>268</v>
      </c>
      <c r="F77" s="95">
        <v>11</v>
      </c>
      <c r="G77" s="95">
        <v>0</v>
      </c>
      <c r="H77" s="95">
        <v>8</v>
      </c>
      <c r="I77" s="94" t="s">
        <v>387</v>
      </c>
      <c r="J77" s="94" t="s">
        <v>388</v>
      </c>
      <c r="K77" s="154">
        <v>8103</v>
      </c>
    </row>
    <row r="78" spans="1:11" x14ac:dyDescent="0.2">
      <c r="A78" s="94" t="s">
        <v>265</v>
      </c>
      <c r="B78" s="95">
        <v>2025</v>
      </c>
      <c r="C78" s="95">
        <v>69</v>
      </c>
      <c r="D78" s="94" t="s">
        <v>321</v>
      </c>
      <c r="E78" s="94" t="s">
        <v>268</v>
      </c>
      <c r="F78" s="95">
        <v>11</v>
      </c>
      <c r="G78" s="95">
        <v>1</v>
      </c>
      <c r="H78" s="95">
        <v>13</v>
      </c>
      <c r="I78" s="94" t="s">
        <v>387</v>
      </c>
      <c r="J78" s="94" t="s">
        <v>390</v>
      </c>
      <c r="K78" s="154">
        <v>-100401.78</v>
      </c>
    </row>
    <row r="79" spans="1:11" x14ac:dyDescent="0.2">
      <c r="A79" s="94" t="s">
        <v>265</v>
      </c>
      <c r="B79" s="95">
        <v>2025</v>
      </c>
      <c r="C79" s="95">
        <v>69</v>
      </c>
      <c r="D79" s="94" t="s">
        <v>321</v>
      </c>
      <c r="E79" s="94" t="s">
        <v>268</v>
      </c>
      <c r="F79" s="95">
        <v>11</v>
      </c>
      <c r="G79" s="95">
        <v>2</v>
      </c>
      <c r="H79" s="95">
        <v>13</v>
      </c>
      <c r="I79" s="94" t="s">
        <v>387</v>
      </c>
      <c r="J79" s="94" t="s">
        <v>390</v>
      </c>
      <c r="K79" s="154">
        <v>-43494.27</v>
      </c>
    </row>
    <row r="80" spans="1:11" hidden="1" x14ac:dyDescent="0.2">
      <c r="A80" s="94" t="s">
        <v>265</v>
      </c>
      <c r="B80" s="95">
        <v>2025</v>
      </c>
      <c r="C80" s="95">
        <v>70</v>
      </c>
      <c r="D80" s="94" t="s">
        <v>322</v>
      </c>
      <c r="E80" s="94" t="s">
        <v>268</v>
      </c>
      <c r="F80" s="95">
        <v>11</v>
      </c>
      <c r="G80" s="95">
        <v>0</v>
      </c>
      <c r="H80" s="95">
        <v>8</v>
      </c>
      <c r="I80" s="94" t="s">
        <v>387</v>
      </c>
      <c r="J80" s="94" t="s">
        <v>388</v>
      </c>
      <c r="K80" s="154">
        <v>5135.33</v>
      </c>
    </row>
    <row r="81" spans="1:11" hidden="1" x14ac:dyDescent="0.2">
      <c r="A81" s="94" t="s">
        <v>265</v>
      </c>
      <c r="B81" s="95">
        <v>2025</v>
      </c>
      <c r="C81" s="95">
        <v>71</v>
      </c>
      <c r="D81" s="94" t="s">
        <v>323</v>
      </c>
      <c r="E81" s="94" t="s">
        <v>268</v>
      </c>
      <c r="F81" s="95">
        <v>11</v>
      </c>
      <c r="G81" s="95">
        <v>0</v>
      </c>
      <c r="H81" s="95">
        <v>8</v>
      </c>
      <c r="I81" s="94" t="s">
        <v>387</v>
      </c>
      <c r="J81" s="94" t="s">
        <v>388</v>
      </c>
      <c r="K81" s="154">
        <v>2920.22</v>
      </c>
    </row>
    <row r="82" spans="1:11" hidden="1" x14ac:dyDescent="0.2">
      <c r="A82" s="94" t="s">
        <v>265</v>
      </c>
      <c r="B82" s="95">
        <v>2025</v>
      </c>
      <c r="C82" s="95">
        <v>72</v>
      </c>
      <c r="D82" s="94" t="s">
        <v>324</v>
      </c>
      <c r="E82" s="94" t="s">
        <v>268</v>
      </c>
      <c r="F82" s="95">
        <v>11</v>
      </c>
      <c r="G82" s="95">
        <v>0</v>
      </c>
      <c r="H82" s="95">
        <v>8</v>
      </c>
      <c r="I82" s="94" t="s">
        <v>387</v>
      </c>
      <c r="J82" s="94" t="s">
        <v>388</v>
      </c>
      <c r="K82" s="154">
        <v>8838.19</v>
      </c>
    </row>
    <row r="83" spans="1:11" x14ac:dyDescent="0.2">
      <c r="A83" s="94" t="s">
        <v>265</v>
      </c>
      <c r="B83" s="95">
        <v>2025</v>
      </c>
      <c r="C83" s="95">
        <v>72</v>
      </c>
      <c r="D83" s="94" t="s">
        <v>324</v>
      </c>
      <c r="E83" s="94" t="s">
        <v>268</v>
      </c>
      <c r="F83" s="95">
        <v>11</v>
      </c>
      <c r="G83" s="95">
        <v>1</v>
      </c>
      <c r="H83" s="95">
        <v>13</v>
      </c>
      <c r="I83" s="94" t="s">
        <v>387</v>
      </c>
      <c r="J83" s="94" t="s">
        <v>390</v>
      </c>
      <c r="K83" s="154">
        <v>-445263.78</v>
      </c>
    </row>
    <row r="84" spans="1:11" x14ac:dyDescent="0.2">
      <c r="A84" s="94" t="s">
        <v>265</v>
      </c>
      <c r="B84" s="95">
        <v>2025</v>
      </c>
      <c r="C84" s="95">
        <v>72</v>
      </c>
      <c r="D84" s="94" t="s">
        <v>324</v>
      </c>
      <c r="E84" s="94" t="s">
        <v>268</v>
      </c>
      <c r="F84" s="95">
        <v>11</v>
      </c>
      <c r="G84" s="95">
        <v>2</v>
      </c>
      <c r="H84" s="95">
        <v>13</v>
      </c>
      <c r="I84" s="94" t="s">
        <v>387</v>
      </c>
      <c r="J84" s="94" t="s">
        <v>390</v>
      </c>
      <c r="K84" s="154">
        <v>-295253.11</v>
      </c>
    </row>
    <row r="85" spans="1:11" x14ac:dyDescent="0.2">
      <c r="A85" s="94" t="s">
        <v>265</v>
      </c>
      <c r="B85" s="95">
        <v>2025</v>
      </c>
      <c r="C85" s="95">
        <v>72</v>
      </c>
      <c r="D85" s="94" t="s">
        <v>324</v>
      </c>
      <c r="E85" s="94" t="s">
        <v>268</v>
      </c>
      <c r="F85" s="95">
        <v>11</v>
      </c>
      <c r="G85" s="95">
        <v>3</v>
      </c>
      <c r="H85" s="95">
        <v>16</v>
      </c>
      <c r="I85" s="94" t="s">
        <v>387</v>
      </c>
      <c r="J85" s="94" t="s">
        <v>391</v>
      </c>
      <c r="K85" s="154">
        <v>-27829.37</v>
      </c>
    </row>
    <row r="86" spans="1:11" hidden="1" x14ac:dyDescent="0.2">
      <c r="A86" s="94" t="s">
        <v>265</v>
      </c>
      <c r="B86" s="95">
        <v>2025</v>
      </c>
      <c r="C86" s="95">
        <v>73</v>
      </c>
      <c r="D86" s="94" t="s">
        <v>325</v>
      </c>
      <c r="E86" s="94" t="s">
        <v>268</v>
      </c>
      <c r="F86" s="95">
        <v>11</v>
      </c>
      <c r="G86" s="95">
        <v>0</v>
      </c>
      <c r="H86" s="95">
        <v>8</v>
      </c>
      <c r="I86" s="94" t="s">
        <v>387</v>
      </c>
      <c r="J86" s="94" t="s">
        <v>388</v>
      </c>
      <c r="K86" s="154">
        <v>7781.67</v>
      </c>
    </row>
    <row r="87" spans="1:11" hidden="1" x14ac:dyDescent="0.2">
      <c r="A87" s="94" t="s">
        <v>265</v>
      </c>
      <c r="B87" s="95">
        <v>2025</v>
      </c>
      <c r="C87" s="95">
        <v>74</v>
      </c>
      <c r="D87" s="94" t="s">
        <v>326</v>
      </c>
      <c r="E87" s="94" t="s">
        <v>268</v>
      </c>
      <c r="F87" s="95">
        <v>11</v>
      </c>
      <c r="G87" s="95">
        <v>0</v>
      </c>
      <c r="H87" s="95">
        <v>8</v>
      </c>
      <c r="I87" s="94" t="s">
        <v>387</v>
      </c>
      <c r="J87" s="94" t="s">
        <v>388</v>
      </c>
      <c r="K87" s="154">
        <v>5038.53</v>
      </c>
    </row>
    <row r="88" spans="1:11" hidden="1" x14ac:dyDescent="0.2">
      <c r="A88" s="94" t="s">
        <v>265</v>
      </c>
      <c r="B88" s="95">
        <v>2025</v>
      </c>
      <c r="C88" s="95">
        <v>76</v>
      </c>
      <c r="D88" s="94" t="s">
        <v>327</v>
      </c>
      <c r="E88" s="94" t="s">
        <v>268</v>
      </c>
      <c r="F88" s="95">
        <v>11</v>
      </c>
      <c r="G88" s="95">
        <v>0</v>
      </c>
      <c r="H88" s="95">
        <v>8</v>
      </c>
      <c r="I88" s="94" t="s">
        <v>387</v>
      </c>
      <c r="J88" s="94" t="s">
        <v>388</v>
      </c>
      <c r="K88" s="154">
        <v>6895.69</v>
      </c>
    </row>
    <row r="89" spans="1:11" hidden="1" x14ac:dyDescent="0.2">
      <c r="A89" s="94" t="s">
        <v>265</v>
      </c>
      <c r="B89" s="95">
        <v>2025</v>
      </c>
      <c r="C89" s="95">
        <v>76</v>
      </c>
      <c r="D89" s="94" t="s">
        <v>327</v>
      </c>
      <c r="E89" s="94" t="s">
        <v>268</v>
      </c>
      <c r="F89" s="95">
        <v>11</v>
      </c>
      <c r="G89" s="95">
        <v>1</v>
      </c>
      <c r="H89" s="95">
        <v>9</v>
      </c>
      <c r="I89" s="94" t="s">
        <v>387</v>
      </c>
      <c r="J89" s="94" t="s">
        <v>389</v>
      </c>
      <c r="K89" s="154">
        <v>-350</v>
      </c>
    </row>
    <row r="90" spans="1:11" hidden="1" x14ac:dyDescent="0.2">
      <c r="A90" s="94" t="s">
        <v>265</v>
      </c>
      <c r="B90" s="95">
        <v>2025</v>
      </c>
      <c r="C90" s="95">
        <v>77</v>
      </c>
      <c r="D90" s="94" t="s">
        <v>328</v>
      </c>
      <c r="E90" s="94" t="s">
        <v>268</v>
      </c>
      <c r="F90" s="95">
        <v>11</v>
      </c>
      <c r="G90" s="95">
        <v>0</v>
      </c>
      <c r="H90" s="95">
        <v>8</v>
      </c>
      <c r="I90" s="94" t="s">
        <v>387</v>
      </c>
      <c r="J90" s="94" t="s">
        <v>388</v>
      </c>
      <c r="K90" s="154">
        <v>5466.67</v>
      </c>
    </row>
    <row r="91" spans="1:11" hidden="1" x14ac:dyDescent="0.2">
      <c r="A91" s="94" t="s">
        <v>265</v>
      </c>
      <c r="B91" s="95">
        <v>2025</v>
      </c>
      <c r="C91" s="95">
        <v>77</v>
      </c>
      <c r="D91" s="94" t="s">
        <v>328</v>
      </c>
      <c r="E91" s="94" t="s">
        <v>268</v>
      </c>
      <c r="F91" s="95">
        <v>11</v>
      </c>
      <c r="G91" s="95">
        <v>1</v>
      </c>
      <c r="H91" s="95">
        <v>9</v>
      </c>
      <c r="I91" s="94" t="s">
        <v>387</v>
      </c>
      <c r="J91" s="94" t="s">
        <v>389</v>
      </c>
      <c r="K91" s="154">
        <v>-100</v>
      </c>
    </row>
    <row r="92" spans="1:11" x14ac:dyDescent="0.2">
      <c r="A92" s="94" t="s">
        <v>265</v>
      </c>
      <c r="B92" s="95">
        <v>2025</v>
      </c>
      <c r="C92" s="95">
        <v>77</v>
      </c>
      <c r="D92" s="94" t="s">
        <v>328</v>
      </c>
      <c r="E92" s="94" t="s">
        <v>268</v>
      </c>
      <c r="F92" s="95">
        <v>11</v>
      </c>
      <c r="G92" s="95">
        <v>2</v>
      </c>
      <c r="H92" s="95">
        <v>13</v>
      </c>
      <c r="I92" s="94" t="s">
        <v>387</v>
      </c>
      <c r="J92" s="94" t="s">
        <v>390</v>
      </c>
      <c r="K92" s="154">
        <v>-93525.97</v>
      </c>
    </row>
    <row r="93" spans="1:11" x14ac:dyDescent="0.2">
      <c r="A93" s="94" t="s">
        <v>265</v>
      </c>
      <c r="B93" s="95">
        <v>2025</v>
      </c>
      <c r="C93" s="95">
        <v>77</v>
      </c>
      <c r="D93" s="94" t="s">
        <v>328</v>
      </c>
      <c r="E93" s="94" t="s">
        <v>268</v>
      </c>
      <c r="F93" s="95">
        <v>11</v>
      </c>
      <c r="G93" s="95">
        <v>3</v>
      </c>
      <c r="H93" s="95">
        <v>13</v>
      </c>
      <c r="I93" s="94" t="s">
        <v>387</v>
      </c>
      <c r="J93" s="94" t="s">
        <v>390</v>
      </c>
      <c r="K93" s="154">
        <v>-55473.919999999998</v>
      </c>
    </row>
    <row r="94" spans="1:11" hidden="1" x14ac:dyDescent="0.2">
      <c r="A94" s="94" t="s">
        <v>265</v>
      </c>
      <c r="B94" s="95">
        <v>2025</v>
      </c>
      <c r="C94" s="95">
        <v>78</v>
      </c>
      <c r="D94" s="94" t="s">
        <v>329</v>
      </c>
      <c r="E94" s="94" t="s">
        <v>268</v>
      </c>
      <c r="F94" s="95">
        <v>11</v>
      </c>
      <c r="G94" s="95">
        <v>0</v>
      </c>
      <c r="H94" s="95">
        <v>8</v>
      </c>
      <c r="I94" s="94" t="s">
        <v>387</v>
      </c>
      <c r="J94" s="94" t="s">
        <v>388</v>
      </c>
      <c r="K94" s="154">
        <v>6160.1</v>
      </c>
    </row>
    <row r="95" spans="1:11" hidden="1" x14ac:dyDescent="0.2">
      <c r="A95" s="94" t="s">
        <v>265</v>
      </c>
      <c r="B95" s="95">
        <v>2025</v>
      </c>
      <c r="C95" s="95">
        <v>80</v>
      </c>
      <c r="D95" s="94" t="s">
        <v>330</v>
      </c>
      <c r="E95" s="94" t="s">
        <v>268</v>
      </c>
      <c r="F95" s="95">
        <v>11</v>
      </c>
      <c r="G95" s="95">
        <v>0</v>
      </c>
      <c r="H95" s="95">
        <v>8</v>
      </c>
      <c r="I95" s="94" t="s">
        <v>387</v>
      </c>
      <c r="J95" s="94" t="s">
        <v>388</v>
      </c>
      <c r="K95" s="154">
        <v>5983.33</v>
      </c>
    </row>
    <row r="96" spans="1:11" x14ac:dyDescent="0.2">
      <c r="A96" s="94" t="s">
        <v>265</v>
      </c>
      <c r="B96" s="95">
        <v>2025</v>
      </c>
      <c r="C96" s="95">
        <v>80</v>
      </c>
      <c r="D96" s="94" t="s">
        <v>330</v>
      </c>
      <c r="E96" s="94" t="s">
        <v>268</v>
      </c>
      <c r="F96" s="95">
        <v>11</v>
      </c>
      <c r="G96" s="95">
        <v>1</v>
      </c>
      <c r="H96" s="95">
        <v>13</v>
      </c>
      <c r="I96" s="94" t="s">
        <v>387</v>
      </c>
      <c r="J96" s="94" t="s">
        <v>390</v>
      </c>
      <c r="K96" s="154">
        <v>-101818.53</v>
      </c>
    </row>
    <row r="97" spans="1:11" x14ac:dyDescent="0.2">
      <c r="A97" s="94" t="s">
        <v>265</v>
      </c>
      <c r="B97" s="95">
        <v>2025</v>
      </c>
      <c r="C97" s="95">
        <v>80</v>
      </c>
      <c r="D97" s="94" t="s">
        <v>330</v>
      </c>
      <c r="E97" s="94" t="s">
        <v>268</v>
      </c>
      <c r="F97" s="95">
        <v>11</v>
      </c>
      <c r="G97" s="95">
        <v>2</v>
      </c>
      <c r="H97" s="95">
        <v>13</v>
      </c>
      <c r="I97" s="94" t="s">
        <v>387</v>
      </c>
      <c r="J97" s="94" t="s">
        <v>390</v>
      </c>
      <c r="K97" s="154">
        <v>-56240.97</v>
      </c>
    </row>
    <row r="98" spans="1:11" hidden="1" x14ac:dyDescent="0.2">
      <c r="A98" s="94" t="s">
        <v>265</v>
      </c>
      <c r="B98" s="95">
        <v>2025</v>
      </c>
      <c r="C98" s="95">
        <v>81</v>
      </c>
      <c r="D98" s="94" t="s">
        <v>331</v>
      </c>
      <c r="E98" s="94" t="s">
        <v>268</v>
      </c>
      <c r="F98" s="95">
        <v>11</v>
      </c>
      <c r="G98" s="95">
        <v>0</v>
      </c>
      <c r="H98" s="95">
        <v>8</v>
      </c>
      <c r="I98" s="94" t="s">
        <v>387</v>
      </c>
      <c r="J98" s="94" t="s">
        <v>388</v>
      </c>
      <c r="K98" s="154">
        <v>6266.67</v>
      </c>
    </row>
    <row r="99" spans="1:11" hidden="1" x14ac:dyDescent="0.2">
      <c r="A99" s="94" t="s">
        <v>265</v>
      </c>
      <c r="B99" s="95">
        <v>2025</v>
      </c>
      <c r="C99" s="95">
        <v>81</v>
      </c>
      <c r="D99" s="94" t="s">
        <v>331</v>
      </c>
      <c r="E99" s="94" t="s">
        <v>268</v>
      </c>
      <c r="F99" s="95">
        <v>11</v>
      </c>
      <c r="G99" s="95">
        <v>1</v>
      </c>
      <c r="H99" s="95">
        <v>9</v>
      </c>
      <c r="I99" s="94" t="s">
        <v>387</v>
      </c>
      <c r="J99" s="94" t="s">
        <v>389</v>
      </c>
      <c r="K99" s="154">
        <v>-300</v>
      </c>
    </row>
    <row r="100" spans="1:11" hidden="1" x14ac:dyDescent="0.2">
      <c r="A100" s="94" t="s">
        <v>265</v>
      </c>
      <c r="B100" s="95">
        <v>2025</v>
      </c>
      <c r="C100" s="95">
        <v>82</v>
      </c>
      <c r="D100" s="94" t="s">
        <v>332</v>
      </c>
      <c r="E100" s="94" t="s">
        <v>268</v>
      </c>
      <c r="F100" s="95">
        <v>11</v>
      </c>
      <c r="G100" s="95">
        <v>0</v>
      </c>
      <c r="H100" s="95">
        <v>8</v>
      </c>
      <c r="I100" s="94" t="s">
        <v>387</v>
      </c>
      <c r="J100" s="94" t="s">
        <v>388</v>
      </c>
      <c r="K100" s="154">
        <v>7089.43</v>
      </c>
    </row>
    <row r="101" spans="1:11" x14ac:dyDescent="0.2">
      <c r="A101" s="94" t="s">
        <v>265</v>
      </c>
      <c r="B101" s="95">
        <v>2025</v>
      </c>
      <c r="C101" s="95">
        <v>82</v>
      </c>
      <c r="D101" s="94" t="s">
        <v>332</v>
      </c>
      <c r="E101" s="94" t="s">
        <v>268</v>
      </c>
      <c r="F101" s="95">
        <v>11</v>
      </c>
      <c r="G101" s="95">
        <v>1</v>
      </c>
      <c r="H101" s="95">
        <v>13</v>
      </c>
      <c r="I101" s="94" t="s">
        <v>387</v>
      </c>
      <c r="J101" s="94" t="s">
        <v>390</v>
      </c>
      <c r="K101" s="154">
        <v>-138407.78</v>
      </c>
    </row>
    <row r="102" spans="1:11" x14ac:dyDescent="0.2">
      <c r="A102" s="94" t="s">
        <v>265</v>
      </c>
      <c r="B102" s="95">
        <v>2025</v>
      </c>
      <c r="C102" s="95">
        <v>82</v>
      </c>
      <c r="D102" s="94" t="s">
        <v>332</v>
      </c>
      <c r="E102" s="94" t="s">
        <v>268</v>
      </c>
      <c r="F102" s="95">
        <v>11</v>
      </c>
      <c r="G102" s="95">
        <v>2</v>
      </c>
      <c r="H102" s="95">
        <v>13</v>
      </c>
      <c r="I102" s="94" t="s">
        <v>387</v>
      </c>
      <c r="J102" s="94" t="s">
        <v>390</v>
      </c>
      <c r="K102" s="154">
        <v>-76332.73</v>
      </c>
    </row>
    <row r="103" spans="1:11" hidden="1" x14ac:dyDescent="0.2">
      <c r="A103" s="94" t="s">
        <v>265</v>
      </c>
      <c r="B103" s="95">
        <v>2025</v>
      </c>
      <c r="C103" s="95">
        <v>83</v>
      </c>
      <c r="D103" s="94" t="s">
        <v>333</v>
      </c>
      <c r="E103" s="94" t="s">
        <v>268</v>
      </c>
      <c r="F103" s="95">
        <v>11</v>
      </c>
      <c r="G103" s="95">
        <v>0</v>
      </c>
      <c r="H103" s="95">
        <v>8</v>
      </c>
      <c r="I103" s="94" t="s">
        <v>387</v>
      </c>
      <c r="J103" s="94" t="s">
        <v>388</v>
      </c>
      <c r="K103" s="154">
        <v>5589.33</v>
      </c>
    </row>
    <row r="104" spans="1:11" hidden="1" x14ac:dyDescent="0.2">
      <c r="A104" s="94" t="s">
        <v>265</v>
      </c>
      <c r="B104" s="95">
        <v>2025</v>
      </c>
      <c r="C104" s="95">
        <v>84</v>
      </c>
      <c r="D104" s="94" t="s">
        <v>334</v>
      </c>
      <c r="E104" s="94" t="s">
        <v>268</v>
      </c>
      <c r="F104" s="95">
        <v>11</v>
      </c>
      <c r="G104" s="95">
        <v>0</v>
      </c>
      <c r="H104" s="95">
        <v>8</v>
      </c>
      <c r="I104" s="94" t="s">
        <v>387</v>
      </c>
      <c r="J104" s="94" t="s">
        <v>388</v>
      </c>
      <c r="K104" s="154">
        <v>5563.73</v>
      </c>
    </row>
    <row r="105" spans="1:11" x14ac:dyDescent="0.2">
      <c r="A105" s="94" t="s">
        <v>265</v>
      </c>
      <c r="B105" s="95">
        <v>2025</v>
      </c>
      <c r="C105" s="95">
        <v>84</v>
      </c>
      <c r="D105" s="94" t="s">
        <v>334</v>
      </c>
      <c r="E105" s="94" t="s">
        <v>268</v>
      </c>
      <c r="F105" s="95">
        <v>11</v>
      </c>
      <c r="G105" s="95">
        <v>1</v>
      </c>
      <c r="H105" s="95">
        <v>16</v>
      </c>
      <c r="I105" s="94" t="s">
        <v>387</v>
      </c>
      <c r="J105" s="94" t="s">
        <v>391</v>
      </c>
      <c r="K105" s="154">
        <v>-20947.03</v>
      </c>
    </row>
    <row r="106" spans="1:11" hidden="1" x14ac:dyDescent="0.2">
      <c r="A106" s="94" t="s">
        <v>265</v>
      </c>
      <c r="B106" s="95">
        <v>2025</v>
      </c>
      <c r="C106" s="95">
        <v>85</v>
      </c>
      <c r="D106" s="94" t="s">
        <v>335</v>
      </c>
      <c r="E106" s="94" t="s">
        <v>268</v>
      </c>
      <c r="F106" s="95">
        <v>11</v>
      </c>
      <c r="G106" s="95">
        <v>0</v>
      </c>
      <c r="H106" s="95">
        <v>8</v>
      </c>
      <c r="I106" s="94" t="s">
        <v>387</v>
      </c>
      <c r="J106" s="94" t="s">
        <v>388</v>
      </c>
      <c r="K106" s="154">
        <v>5400</v>
      </c>
    </row>
    <row r="107" spans="1:11" hidden="1" x14ac:dyDescent="0.2">
      <c r="A107" s="94" t="s">
        <v>265</v>
      </c>
      <c r="B107" s="95">
        <v>2025</v>
      </c>
      <c r="C107" s="95">
        <v>86</v>
      </c>
      <c r="D107" s="94" t="s">
        <v>336</v>
      </c>
      <c r="E107" s="94" t="s">
        <v>268</v>
      </c>
      <c r="F107" s="95">
        <v>11</v>
      </c>
      <c r="G107" s="95">
        <v>0</v>
      </c>
      <c r="H107" s="95">
        <v>8</v>
      </c>
      <c r="I107" s="94" t="s">
        <v>387</v>
      </c>
      <c r="J107" s="94" t="s">
        <v>388</v>
      </c>
      <c r="K107" s="154">
        <v>5636.36</v>
      </c>
    </row>
    <row r="108" spans="1:11" x14ac:dyDescent="0.2">
      <c r="A108" s="94" t="s">
        <v>265</v>
      </c>
      <c r="B108" s="95">
        <v>2025</v>
      </c>
      <c r="C108" s="95">
        <v>86</v>
      </c>
      <c r="D108" s="94" t="s">
        <v>336</v>
      </c>
      <c r="E108" s="94" t="s">
        <v>268</v>
      </c>
      <c r="F108" s="95">
        <v>11</v>
      </c>
      <c r="G108" s="95">
        <v>1</v>
      </c>
      <c r="H108" s="95">
        <v>13</v>
      </c>
      <c r="I108" s="94" t="s">
        <v>387</v>
      </c>
      <c r="J108" s="94" t="s">
        <v>390</v>
      </c>
      <c r="K108" s="154">
        <v>-152268.44</v>
      </c>
    </row>
    <row r="109" spans="1:11" x14ac:dyDescent="0.2">
      <c r="A109" s="94" t="s">
        <v>265</v>
      </c>
      <c r="B109" s="95">
        <v>2025</v>
      </c>
      <c r="C109" s="95">
        <v>86</v>
      </c>
      <c r="D109" s="94" t="s">
        <v>336</v>
      </c>
      <c r="E109" s="94" t="s">
        <v>268</v>
      </c>
      <c r="F109" s="95">
        <v>11</v>
      </c>
      <c r="G109" s="95">
        <v>2</v>
      </c>
      <c r="H109" s="95">
        <v>13</v>
      </c>
      <c r="I109" s="94" t="s">
        <v>387</v>
      </c>
      <c r="J109" s="94" t="s">
        <v>390</v>
      </c>
      <c r="K109" s="154">
        <v>-99207.52</v>
      </c>
    </row>
    <row r="110" spans="1:11" hidden="1" x14ac:dyDescent="0.2">
      <c r="A110" s="94" t="s">
        <v>265</v>
      </c>
      <c r="B110" s="95">
        <v>2025</v>
      </c>
      <c r="C110" s="95">
        <v>87</v>
      </c>
      <c r="D110" s="94" t="s">
        <v>337</v>
      </c>
      <c r="E110" s="94" t="s">
        <v>268</v>
      </c>
      <c r="F110" s="95">
        <v>11</v>
      </c>
      <c r="G110" s="95">
        <v>0</v>
      </c>
      <c r="H110" s="95">
        <v>8</v>
      </c>
      <c r="I110" s="94" t="s">
        <v>387</v>
      </c>
      <c r="J110" s="94" t="s">
        <v>388</v>
      </c>
      <c r="K110" s="154">
        <v>3852</v>
      </c>
    </row>
    <row r="111" spans="1:11" hidden="1" x14ac:dyDescent="0.2">
      <c r="A111" s="94" t="s">
        <v>265</v>
      </c>
      <c r="B111" s="95">
        <v>2025</v>
      </c>
      <c r="C111" s="95">
        <v>88</v>
      </c>
      <c r="D111" s="94" t="s">
        <v>338</v>
      </c>
      <c r="E111" s="94" t="s">
        <v>268</v>
      </c>
      <c r="F111" s="95">
        <v>11</v>
      </c>
      <c r="G111" s="95">
        <v>0</v>
      </c>
      <c r="H111" s="95">
        <v>8</v>
      </c>
      <c r="I111" s="94" t="s">
        <v>387</v>
      </c>
      <c r="J111" s="94" t="s">
        <v>388</v>
      </c>
      <c r="K111" s="154">
        <v>4678.58</v>
      </c>
    </row>
    <row r="112" spans="1:11" x14ac:dyDescent="0.2">
      <c r="A112" s="94" t="s">
        <v>265</v>
      </c>
      <c r="B112" s="95">
        <v>2025</v>
      </c>
      <c r="C112" s="95">
        <v>89</v>
      </c>
      <c r="D112" s="94" t="s">
        <v>339</v>
      </c>
      <c r="E112" s="94" t="s">
        <v>268</v>
      </c>
      <c r="F112" s="95">
        <v>11</v>
      </c>
      <c r="G112" s="95">
        <v>0</v>
      </c>
      <c r="H112" s="95">
        <v>13</v>
      </c>
      <c r="I112" s="94" t="s">
        <v>387</v>
      </c>
      <c r="J112" s="94" t="s">
        <v>390</v>
      </c>
      <c r="K112" s="154">
        <v>-8945.07</v>
      </c>
    </row>
    <row r="113" spans="1:11" hidden="1" x14ac:dyDescent="0.2">
      <c r="A113" s="94" t="s">
        <v>265</v>
      </c>
      <c r="B113" s="95">
        <v>2025</v>
      </c>
      <c r="C113" s="95">
        <v>90</v>
      </c>
      <c r="D113" s="94" t="s">
        <v>340</v>
      </c>
      <c r="E113" s="94" t="s">
        <v>268</v>
      </c>
      <c r="F113" s="95">
        <v>11</v>
      </c>
      <c r="G113" s="95">
        <v>0</v>
      </c>
      <c r="H113" s="95">
        <v>8</v>
      </c>
      <c r="I113" s="94" t="s">
        <v>387</v>
      </c>
      <c r="J113" s="94" t="s">
        <v>388</v>
      </c>
      <c r="K113" s="154">
        <v>5842.2</v>
      </c>
    </row>
    <row r="114" spans="1:11" x14ac:dyDescent="0.2">
      <c r="A114" s="94" t="s">
        <v>265</v>
      </c>
      <c r="B114" s="95">
        <v>2025</v>
      </c>
      <c r="C114" s="95">
        <v>90</v>
      </c>
      <c r="D114" s="94" t="s">
        <v>340</v>
      </c>
      <c r="E114" s="94" t="s">
        <v>268</v>
      </c>
      <c r="F114" s="95">
        <v>11</v>
      </c>
      <c r="G114" s="95">
        <v>1</v>
      </c>
      <c r="H114" s="95">
        <v>16</v>
      </c>
      <c r="I114" s="94" t="s">
        <v>387</v>
      </c>
      <c r="J114" s="94" t="s">
        <v>391</v>
      </c>
      <c r="K114" s="154">
        <v>-20456.8</v>
      </c>
    </row>
    <row r="115" spans="1:11" hidden="1" x14ac:dyDescent="0.2">
      <c r="A115" s="94" t="s">
        <v>265</v>
      </c>
      <c r="B115" s="95">
        <v>2025</v>
      </c>
      <c r="C115" s="95">
        <v>94</v>
      </c>
      <c r="D115" s="94" t="s">
        <v>341</v>
      </c>
      <c r="E115" s="94" t="s">
        <v>268</v>
      </c>
      <c r="F115" s="95">
        <v>11</v>
      </c>
      <c r="G115" s="95">
        <v>0</v>
      </c>
      <c r="H115" s="95">
        <v>8</v>
      </c>
      <c r="I115" s="94" t="s">
        <v>387</v>
      </c>
      <c r="J115" s="94" t="s">
        <v>388</v>
      </c>
      <c r="K115" s="154">
        <v>5850</v>
      </c>
    </row>
    <row r="116" spans="1:11" hidden="1" x14ac:dyDescent="0.2">
      <c r="A116" s="94" t="s">
        <v>265</v>
      </c>
      <c r="B116" s="95">
        <v>2025</v>
      </c>
      <c r="C116" s="95">
        <v>95</v>
      </c>
      <c r="D116" s="94" t="s">
        <v>342</v>
      </c>
      <c r="E116" s="94" t="s">
        <v>268</v>
      </c>
      <c r="F116" s="95">
        <v>11</v>
      </c>
      <c r="G116" s="95">
        <v>0</v>
      </c>
      <c r="H116" s="95">
        <v>8</v>
      </c>
      <c r="I116" s="94" t="s">
        <v>387</v>
      </c>
      <c r="J116" s="94" t="s">
        <v>388</v>
      </c>
      <c r="K116" s="154">
        <v>8571</v>
      </c>
    </row>
    <row r="117" spans="1:11" hidden="1" x14ac:dyDescent="0.2">
      <c r="A117" s="94" t="s">
        <v>265</v>
      </c>
      <c r="B117" s="95">
        <v>2025</v>
      </c>
      <c r="C117" s="95">
        <v>95</v>
      </c>
      <c r="D117" s="94" t="s">
        <v>342</v>
      </c>
      <c r="E117" s="94" t="s">
        <v>268</v>
      </c>
      <c r="F117" s="95">
        <v>11</v>
      </c>
      <c r="G117" s="95">
        <v>1</v>
      </c>
      <c r="H117" s="95">
        <v>9</v>
      </c>
      <c r="I117" s="94" t="s">
        <v>387</v>
      </c>
      <c r="J117" s="94" t="s">
        <v>389</v>
      </c>
      <c r="K117" s="154">
        <v>-7758.37</v>
      </c>
    </row>
    <row r="118" spans="1:11" hidden="1" x14ac:dyDescent="0.2">
      <c r="A118" s="94" t="s">
        <v>265</v>
      </c>
      <c r="B118" s="95">
        <v>2025</v>
      </c>
      <c r="C118" s="95">
        <v>96</v>
      </c>
      <c r="D118" s="94" t="s">
        <v>343</v>
      </c>
      <c r="E118" s="94" t="s">
        <v>268</v>
      </c>
      <c r="F118" s="95">
        <v>11</v>
      </c>
      <c r="G118" s="95">
        <v>0</v>
      </c>
      <c r="H118" s="95">
        <v>8</v>
      </c>
      <c r="I118" s="94" t="s">
        <v>387</v>
      </c>
      <c r="J118" s="94" t="s">
        <v>388</v>
      </c>
      <c r="K118" s="154">
        <v>5400</v>
      </c>
    </row>
    <row r="119" spans="1:11" hidden="1" x14ac:dyDescent="0.2">
      <c r="A119" s="94" t="s">
        <v>265</v>
      </c>
      <c r="B119" s="95">
        <v>2025</v>
      </c>
      <c r="C119" s="95">
        <v>97</v>
      </c>
      <c r="D119" s="94" t="s">
        <v>392</v>
      </c>
      <c r="E119" s="94" t="s">
        <v>268</v>
      </c>
      <c r="F119" s="95">
        <v>11</v>
      </c>
      <c r="G119" s="95">
        <v>0</v>
      </c>
      <c r="H119" s="95">
        <v>1</v>
      </c>
      <c r="I119" s="94" t="s">
        <v>393</v>
      </c>
      <c r="J119" s="94" t="s">
        <v>394</v>
      </c>
      <c r="K119" s="154">
        <v>-510.43</v>
      </c>
    </row>
    <row r="120" spans="1:11" hidden="1" x14ac:dyDescent="0.2">
      <c r="A120" s="94" t="s">
        <v>265</v>
      </c>
      <c r="B120" s="95">
        <v>2025</v>
      </c>
      <c r="C120" s="95">
        <v>98</v>
      </c>
      <c r="D120" s="94" t="s">
        <v>344</v>
      </c>
      <c r="E120" s="94" t="s">
        <v>268</v>
      </c>
      <c r="F120" s="95">
        <v>11</v>
      </c>
      <c r="G120" s="95">
        <v>0</v>
      </c>
      <c r="H120" s="95">
        <v>8</v>
      </c>
      <c r="I120" s="94" t="s">
        <v>387</v>
      </c>
      <c r="J120" s="94" t="s">
        <v>388</v>
      </c>
      <c r="K120" s="154">
        <v>1782.14</v>
      </c>
    </row>
    <row r="121" spans="1:11" hidden="1" x14ac:dyDescent="0.2">
      <c r="A121" s="94" t="s">
        <v>265</v>
      </c>
      <c r="B121" s="95">
        <v>2025</v>
      </c>
      <c r="C121" s="95">
        <v>99</v>
      </c>
      <c r="D121" s="94" t="s">
        <v>345</v>
      </c>
      <c r="E121" s="94" t="s">
        <v>298</v>
      </c>
      <c r="F121" s="95">
        <v>11</v>
      </c>
      <c r="G121" s="95">
        <v>0</v>
      </c>
      <c r="H121" s="95">
        <v>8</v>
      </c>
      <c r="I121" s="94" t="s">
        <v>387</v>
      </c>
      <c r="J121" s="94" t="s">
        <v>388</v>
      </c>
      <c r="K121" s="154">
        <v>7436</v>
      </c>
    </row>
    <row r="122" spans="1:11" hidden="1" x14ac:dyDescent="0.2">
      <c r="A122" s="94" t="s">
        <v>265</v>
      </c>
      <c r="B122" s="95">
        <v>2025</v>
      </c>
      <c r="C122" s="95">
        <v>99</v>
      </c>
      <c r="D122" s="94" t="s">
        <v>345</v>
      </c>
      <c r="E122" s="94" t="s">
        <v>298</v>
      </c>
      <c r="F122" s="95">
        <v>11</v>
      </c>
      <c r="G122" s="95">
        <v>1</v>
      </c>
      <c r="H122" s="95">
        <v>9</v>
      </c>
      <c r="I122" s="94" t="s">
        <v>387</v>
      </c>
      <c r="J122" s="94" t="s">
        <v>389</v>
      </c>
      <c r="K122" s="154">
        <v>-542.37</v>
      </c>
    </row>
    <row r="123" spans="1:11" hidden="1" x14ac:dyDescent="0.2">
      <c r="A123" s="94" t="s">
        <v>265</v>
      </c>
      <c r="B123" s="95">
        <v>2025</v>
      </c>
      <c r="C123" s="95">
        <v>102</v>
      </c>
      <c r="D123" s="94" t="s">
        <v>348</v>
      </c>
      <c r="E123" s="94" t="s">
        <v>268</v>
      </c>
      <c r="F123" s="95">
        <v>11</v>
      </c>
      <c r="G123" s="95">
        <v>0</v>
      </c>
      <c r="H123" s="95">
        <v>8</v>
      </c>
      <c r="I123" s="94" t="s">
        <v>387</v>
      </c>
      <c r="J123" s="94" t="s">
        <v>388</v>
      </c>
      <c r="K123" s="154">
        <v>5598.38</v>
      </c>
    </row>
    <row r="124" spans="1:11" hidden="1" x14ac:dyDescent="0.2">
      <c r="A124" s="94" t="s">
        <v>265</v>
      </c>
      <c r="B124" s="95">
        <v>2025</v>
      </c>
      <c r="C124" s="95">
        <v>103</v>
      </c>
      <c r="D124" s="94" t="s">
        <v>349</v>
      </c>
      <c r="E124" s="94" t="s">
        <v>268</v>
      </c>
      <c r="F124" s="95">
        <v>11</v>
      </c>
      <c r="G124" s="95">
        <v>0</v>
      </c>
      <c r="H124" s="95">
        <v>8</v>
      </c>
      <c r="I124" s="94" t="s">
        <v>387</v>
      </c>
      <c r="J124" s="94" t="s">
        <v>388</v>
      </c>
      <c r="K124" s="154">
        <v>7410</v>
      </c>
    </row>
    <row r="125" spans="1:11" hidden="1" x14ac:dyDescent="0.2">
      <c r="A125" s="94" t="s">
        <v>265</v>
      </c>
      <c r="B125" s="95">
        <v>2025</v>
      </c>
      <c r="C125" s="95">
        <v>104</v>
      </c>
      <c r="D125" s="94" t="s">
        <v>350</v>
      </c>
      <c r="E125" s="94" t="s">
        <v>268</v>
      </c>
      <c r="F125" s="95">
        <v>11</v>
      </c>
      <c r="G125" s="95">
        <v>0</v>
      </c>
      <c r="H125" s="95">
        <v>8</v>
      </c>
      <c r="I125" s="94" t="s">
        <v>387</v>
      </c>
      <c r="J125" s="94" t="s">
        <v>388</v>
      </c>
      <c r="K125" s="154">
        <v>5930.28</v>
      </c>
    </row>
    <row r="126" spans="1:11" hidden="1" x14ac:dyDescent="0.2">
      <c r="A126" s="94" t="s">
        <v>265</v>
      </c>
      <c r="B126" s="95">
        <v>2025</v>
      </c>
      <c r="C126" s="95">
        <v>104</v>
      </c>
      <c r="D126" s="94" t="s">
        <v>350</v>
      </c>
      <c r="E126" s="94" t="s">
        <v>268</v>
      </c>
      <c r="F126" s="95">
        <v>11</v>
      </c>
      <c r="G126" s="95">
        <v>1</v>
      </c>
      <c r="H126" s="95">
        <v>9</v>
      </c>
      <c r="I126" s="94" t="s">
        <v>387</v>
      </c>
      <c r="J126" s="94" t="s">
        <v>389</v>
      </c>
      <c r="K126" s="154">
        <v>-100</v>
      </c>
    </row>
    <row r="127" spans="1:11" x14ac:dyDescent="0.2">
      <c r="A127" s="94" t="s">
        <v>265</v>
      </c>
      <c r="B127" s="95">
        <v>2025</v>
      </c>
      <c r="C127" s="95">
        <v>104</v>
      </c>
      <c r="D127" s="94" t="s">
        <v>350</v>
      </c>
      <c r="E127" s="94" t="s">
        <v>268</v>
      </c>
      <c r="F127" s="95">
        <v>11</v>
      </c>
      <c r="G127" s="95">
        <v>2</v>
      </c>
      <c r="H127" s="95">
        <v>16</v>
      </c>
      <c r="I127" s="94" t="s">
        <v>387</v>
      </c>
      <c r="J127" s="94" t="s">
        <v>391</v>
      </c>
      <c r="K127" s="154">
        <v>-13567.38</v>
      </c>
    </row>
    <row r="128" spans="1:11" hidden="1" x14ac:dyDescent="0.2">
      <c r="A128" s="94" t="s">
        <v>265</v>
      </c>
      <c r="B128" s="95">
        <v>2025</v>
      </c>
      <c r="C128" s="95">
        <v>105</v>
      </c>
      <c r="D128" s="94" t="s">
        <v>351</v>
      </c>
      <c r="E128" s="94" t="s">
        <v>268</v>
      </c>
      <c r="F128" s="95">
        <v>11</v>
      </c>
      <c r="G128" s="95">
        <v>0</v>
      </c>
      <c r="H128" s="95">
        <v>8</v>
      </c>
      <c r="I128" s="94" t="s">
        <v>387</v>
      </c>
      <c r="J128" s="94" t="s">
        <v>388</v>
      </c>
      <c r="K128" s="154">
        <v>6630</v>
      </c>
    </row>
    <row r="129" spans="1:11" hidden="1" x14ac:dyDescent="0.2">
      <c r="A129" s="94" t="s">
        <v>265</v>
      </c>
      <c r="B129" s="95">
        <v>2025</v>
      </c>
      <c r="C129" s="95">
        <v>106</v>
      </c>
      <c r="D129" s="94" t="s">
        <v>352</v>
      </c>
      <c r="E129" s="94" t="s">
        <v>268</v>
      </c>
      <c r="F129" s="95">
        <v>11</v>
      </c>
      <c r="G129" s="95">
        <v>0</v>
      </c>
      <c r="H129" s="95">
        <v>8</v>
      </c>
      <c r="I129" s="94" t="s">
        <v>387</v>
      </c>
      <c r="J129" s="94" t="s">
        <v>388</v>
      </c>
      <c r="K129" s="154">
        <v>5040</v>
      </c>
    </row>
    <row r="130" spans="1:11" hidden="1" x14ac:dyDescent="0.2">
      <c r="A130" s="94" t="s">
        <v>265</v>
      </c>
      <c r="B130" s="95">
        <v>2025</v>
      </c>
      <c r="C130" s="95">
        <v>107</v>
      </c>
      <c r="D130" s="94" t="s">
        <v>353</v>
      </c>
      <c r="E130" s="94" t="s">
        <v>268</v>
      </c>
      <c r="F130" s="95">
        <v>11</v>
      </c>
      <c r="G130" s="95">
        <v>0</v>
      </c>
      <c r="H130" s="95">
        <v>8</v>
      </c>
      <c r="I130" s="94" t="s">
        <v>387</v>
      </c>
      <c r="J130" s="94" t="s">
        <v>388</v>
      </c>
      <c r="K130" s="154">
        <v>4725</v>
      </c>
    </row>
    <row r="131" spans="1:11" hidden="1" x14ac:dyDescent="0.2">
      <c r="A131" s="94" t="s">
        <v>265</v>
      </c>
      <c r="B131" s="95">
        <v>2025</v>
      </c>
      <c r="C131" s="95">
        <v>108</v>
      </c>
      <c r="D131" s="94" t="s">
        <v>354</v>
      </c>
      <c r="E131" s="94" t="s">
        <v>268</v>
      </c>
      <c r="F131" s="95">
        <v>11</v>
      </c>
      <c r="G131" s="95">
        <v>0</v>
      </c>
      <c r="H131" s="95">
        <v>8</v>
      </c>
      <c r="I131" s="94" t="s">
        <v>387</v>
      </c>
      <c r="J131" s="94" t="s">
        <v>388</v>
      </c>
      <c r="K131" s="154">
        <v>7488</v>
      </c>
    </row>
    <row r="132" spans="1:11" hidden="1" x14ac:dyDescent="0.2">
      <c r="A132" s="94" t="s">
        <v>265</v>
      </c>
      <c r="B132" s="95">
        <v>2025</v>
      </c>
      <c r="C132" s="95">
        <v>109</v>
      </c>
      <c r="D132" s="94" t="s">
        <v>355</v>
      </c>
      <c r="E132" s="94" t="s">
        <v>268</v>
      </c>
      <c r="F132" s="95">
        <v>11</v>
      </c>
      <c r="G132" s="95">
        <v>0</v>
      </c>
      <c r="H132" s="95">
        <v>9</v>
      </c>
      <c r="I132" s="94" t="s">
        <v>387</v>
      </c>
      <c r="J132" s="94" t="s">
        <v>389</v>
      </c>
      <c r="K132" s="154">
        <v>-354</v>
      </c>
    </row>
    <row r="133" spans="1:11" hidden="1" x14ac:dyDescent="0.2">
      <c r="A133" s="94" t="s">
        <v>265</v>
      </c>
      <c r="B133" s="95">
        <v>2025</v>
      </c>
      <c r="C133" s="95">
        <v>111</v>
      </c>
      <c r="D133" s="94" t="s">
        <v>356</v>
      </c>
      <c r="E133" s="94" t="s">
        <v>357</v>
      </c>
      <c r="F133" s="95">
        <v>11</v>
      </c>
      <c r="G133" s="95">
        <v>0</v>
      </c>
      <c r="H133" s="95">
        <v>8</v>
      </c>
      <c r="I133" s="94" t="s">
        <v>387</v>
      </c>
      <c r="J133" s="94" t="s">
        <v>388</v>
      </c>
      <c r="K133" s="154">
        <v>7030.4</v>
      </c>
    </row>
    <row r="134" spans="1:11" x14ac:dyDescent="0.2">
      <c r="A134" s="94" t="s">
        <v>265</v>
      </c>
      <c r="B134" s="95">
        <v>2025</v>
      </c>
      <c r="C134" s="95">
        <v>111</v>
      </c>
      <c r="D134" s="94" t="s">
        <v>356</v>
      </c>
      <c r="E134" s="94" t="s">
        <v>357</v>
      </c>
      <c r="F134" s="95">
        <v>11</v>
      </c>
      <c r="G134" s="95">
        <v>1</v>
      </c>
      <c r="H134" s="95">
        <v>16</v>
      </c>
      <c r="I134" s="94" t="s">
        <v>387</v>
      </c>
      <c r="J134" s="94" t="s">
        <v>391</v>
      </c>
      <c r="K134" s="154">
        <v>-26078.38</v>
      </c>
    </row>
    <row r="135" spans="1:11" hidden="1" x14ac:dyDescent="0.2">
      <c r="A135" s="94" t="s">
        <v>265</v>
      </c>
      <c r="B135" s="95">
        <v>2025</v>
      </c>
      <c r="C135" s="95">
        <v>112</v>
      </c>
      <c r="D135" s="94" t="s">
        <v>358</v>
      </c>
      <c r="E135" s="94" t="s">
        <v>357</v>
      </c>
      <c r="F135" s="95">
        <v>11</v>
      </c>
      <c r="G135" s="95">
        <v>0</v>
      </c>
      <c r="H135" s="95">
        <v>8</v>
      </c>
      <c r="I135" s="94" t="s">
        <v>387</v>
      </c>
      <c r="J135" s="94" t="s">
        <v>388</v>
      </c>
      <c r="K135" s="154">
        <v>6416.58</v>
      </c>
    </row>
    <row r="136" spans="1:11" x14ac:dyDescent="0.2">
      <c r="A136" s="94" t="s">
        <v>265</v>
      </c>
      <c r="B136" s="95">
        <v>2025</v>
      </c>
      <c r="C136" s="95">
        <v>112</v>
      </c>
      <c r="D136" s="94" t="s">
        <v>358</v>
      </c>
      <c r="E136" s="94" t="s">
        <v>357</v>
      </c>
      <c r="F136" s="95">
        <v>11</v>
      </c>
      <c r="G136" s="95">
        <v>1</v>
      </c>
      <c r="H136" s="95">
        <v>13</v>
      </c>
      <c r="I136" s="94" t="s">
        <v>387</v>
      </c>
      <c r="J136" s="94" t="s">
        <v>390</v>
      </c>
      <c r="K136" s="154">
        <v>-31633.5</v>
      </c>
    </row>
    <row r="137" spans="1:11" hidden="1" x14ac:dyDescent="0.2">
      <c r="A137" s="94" t="s">
        <v>265</v>
      </c>
      <c r="B137" s="95">
        <v>2025</v>
      </c>
      <c r="C137" s="95">
        <v>113</v>
      </c>
      <c r="D137" s="94" t="s">
        <v>359</v>
      </c>
      <c r="E137" s="94" t="s">
        <v>357</v>
      </c>
      <c r="F137" s="95">
        <v>11</v>
      </c>
      <c r="G137" s="95">
        <v>0</v>
      </c>
      <c r="H137" s="95">
        <v>8</v>
      </c>
      <c r="I137" s="94" t="s">
        <v>387</v>
      </c>
      <c r="J137" s="94" t="s">
        <v>388</v>
      </c>
      <c r="K137" s="154">
        <v>9401.2900000000009</v>
      </c>
    </row>
    <row r="138" spans="1:11" hidden="1" x14ac:dyDescent="0.2">
      <c r="A138" s="94" t="s">
        <v>265</v>
      </c>
      <c r="B138" s="95">
        <v>2025</v>
      </c>
      <c r="C138" s="95">
        <v>113</v>
      </c>
      <c r="D138" s="94" t="s">
        <v>359</v>
      </c>
      <c r="E138" s="94" t="s">
        <v>357</v>
      </c>
      <c r="F138" s="95">
        <v>11</v>
      </c>
      <c r="G138" s="95">
        <v>1</v>
      </c>
      <c r="H138" s="95">
        <v>9</v>
      </c>
      <c r="I138" s="94" t="s">
        <v>387</v>
      </c>
      <c r="J138" s="94" t="s">
        <v>389</v>
      </c>
      <c r="K138" s="154">
        <v>-14397.78</v>
      </c>
    </row>
    <row r="139" spans="1:11" x14ac:dyDescent="0.2">
      <c r="A139" s="94" t="s">
        <v>265</v>
      </c>
      <c r="B139" s="95">
        <v>2025</v>
      </c>
      <c r="C139" s="95">
        <v>113</v>
      </c>
      <c r="D139" s="94" t="s">
        <v>359</v>
      </c>
      <c r="E139" s="94" t="s">
        <v>357</v>
      </c>
      <c r="F139" s="95">
        <v>11</v>
      </c>
      <c r="G139" s="95">
        <v>2</v>
      </c>
      <c r="H139" s="95">
        <v>13</v>
      </c>
      <c r="I139" s="94" t="s">
        <v>387</v>
      </c>
      <c r="J139" s="94" t="s">
        <v>390</v>
      </c>
      <c r="K139" s="154">
        <v>-727880.11</v>
      </c>
    </row>
    <row r="140" spans="1:11" x14ac:dyDescent="0.2">
      <c r="A140" s="94" t="s">
        <v>265</v>
      </c>
      <c r="B140" s="95">
        <v>2025</v>
      </c>
      <c r="C140" s="95">
        <v>113</v>
      </c>
      <c r="D140" s="94" t="s">
        <v>359</v>
      </c>
      <c r="E140" s="94" t="s">
        <v>357</v>
      </c>
      <c r="F140" s="95">
        <v>11</v>
      </c>
      <c r="G140" s="95">
        <v>3</v>
      </c>
      <c r="H140" s="95">
        <v>13</v>
      </c>
      <c r="I140" s="94" t="s">
        <v>387</v>
      </c>
      <c r="J140" s="94" t="s">
        <v>390</v>
      </c>
      <c r="K140" s="154">
        <v>-490990.94</v>
      </c>
    </row>
    <row r="141" spans="1:11" hidden="1" x14ac:dyDescent="0.2">
      <c r="A141" s="94" t="s">
        <v>265</v>
      </c>
      <c r="B141" s="95">
        <v>2025</v>
      </c>
      <c r="C141" s="95">
        <v>114</v>
      </c>
      <c r="D141" s="94" t="s">
        <v>360</v>
      </c>
      <c r="E141" s="94" t="s">
        <v>357</v>
      </c>
      <c r="F141" s="95">
        <v>11</v>
      </c>
      <c r="G141" s="95">
        <v>0</v>
      </c>
      <c r="H141" s="95">
        <v>8</v>
      </c>
      <c r="I141" s="94" t="s">
        <v>387</v>
      </c>
      <c r="J141" s="94" t="s">
        <v>388</v>
      </c>
      <c r="K141" s="154">
        <v>653.17999999999995</v>
      </c>
    </row>
    <row r="142" spans="1:11" hidden="1" x14ac:dyDescent="0.2">
      <c r="A142" s="94" t="s">
        <v>265</v>
      </c>
      <c r="B142" s="95">
        <v>2025</v>
      </c>
      <c r="C142" s="95">
        <v>115</v>
      </c>
      <c r="D142" s="94" t="s">
        <v>361</v>
      </c>
      <c r="E142" s="94" t="s">
        <v>357</v>
      </c>
      <c r="F142" s="95">
        <v>11</v>
      </c>
      <c r="G142" s="95">
        <v>0</v>
      </c>
      <c r="H142" s="95">
        <v>8</v>
      </c>
      <c r="I142" s="94" t="s">
        <v>387</v>
      </c>
      <c r="J142" s="94" t="s">
        <v>388</v>
      </c>
      <c r="K142" s="154">
        <v>4721.3900000000003</v>
      </c>
    </row>
    <row r="143" spans="1:11" hidden="1" x14ac:dyDescent="0.2">
      <c r="A143" s="94" t="s">
        <v>265</v>
      </c>
      <c r="B143" s="95">
        <v>2025</v>
      </c>
      <c r="C143" s="95">
        <v>117</v>
      </c>
      <c r="D143" s="94" t="s">
        <v>362</v>
      </c>
      <c r="E143" s="94" t="s">
        <v>357</v>
      </c>
      <c r="F143" s="95">
        <v>11</v>
      </c>
      <c r="G143" s="95">
        <v>0</v>
      </c>
      <c r="H143" s="95">
        <v>8</v>
      </c>
      <c r="I143" s="94" t="s">
        <v>387</v>
      </c>
      <c r="J143" s="94" t="s">
        <v>388</v>
      </c>
      <c r="K143" s="154">
        <v>7149.75</v>
      </c>
    </row>
    <row r="144" spans="1:11" hidden="1" x14ac:dyDescent="0.2">
      <c r="A144" s="94" t="s">
        <v>265</v>
      </c>
      <c r="B144" s="95">
        <v>2025</v>
      </c>
      <c r="C144" s="95">
        <v>117</v>
      </c>
      <c r="D144" s="94" t="s">
        <v>362</v>
      </c>
      <c r="E144" s="94" t="s">
        <v>357</v>
      </c>
      <c r="F144" s="95">
        <v>11</v>
      </c>
      <c r="G144" s="95">
        <v>1</v>
      </c>
      <c r="H144" s="95">
        <v>9</v>
      </c>
      <c r="I144" s="94" t="s">
        <v>387</v>
      </c>
      <c r="J144" s="94" t="s">
        <v>389</v>
      </c>
      <c r="K144" s="154">
        <v>-552</v>
      </c>
    </row>
    <row r="145" spans="1:11" hidden="1" x14ac:dyDescent="0.2">
      <c r="A145" s="94" t="s">
        <v>265</v>
      </c>
      <c r="B145" s="95">
        <v>2025</v>
      </c>
      <c r="C145" s="95">
        <v>119</v>
      </c>
      <c r="D145" s="94" t="s">
        <v>363</v>
      </c>
      <c r="E145" s="94" t="s">
        <v>357</v>
      </c>
      <c r="F145" s="95">
        <v>11</v>
      </c>
      <c r="G145" s="95">
        <v>0</v>
      </c>
      <c r="H145" s="95">
        <v>8</v>
      </c>
      <c r="I145" s="94" t="s">
        <v>387</v>
      </c>
      <c r="J145" s="94" t="s">
        <v>388</v>
      </c>
      <c r="K145" s="154">
        <v>4969.4399999999996</v>
      </c>
    </row>
    <row r="146" spans="1:11" hidden="1" x14ac:dyDescent="0.2">
      <c r="A146" s="94" t="s">
        <v>265</v>
      </c>
      <c r="B146" s="95">
        <v>2025</v>
      </c>
      <c r="C146" s="95">
        <v>125</v>
      </c>
      <c r="D146" s="94" t="s">
        <v>367</v>
      </c>
      <c r="E146" s="94" t="s">
        <v>357</v>
      </c>
      <c r="F146" s="95">
        <v>11</v>
      </c>
      <c r="G146" s="95">
        <v>0</v>
      </c>
      <c r="H146" s="95">
        <v>8</v>
      </c>
      <c r="I146" s="94" t="s">
        <v>387</v>
      </c>
      <c r="J146" s="94" t="s">
        <v>388</v>
      </c>
      <c r="K146" s="154">
        <v>4468.09</v>
      </c>
    </row>
    <row r="147" spans="1:11" hidden="1" x14ac:dyDescent="0.2">
      <c r="A147" s="94" t="s">
        <v>265</v>
      </c>
      <c r="B147" s="95">
        <v>2025</v>
      </c>
      <c r="C147" s="95">
        <v>127</v>
      </c>
      <c r="D147" s="94" t="s">
        <v>368</v>
      </c>
      <c r="E147" s="94" t="s">
        <v>298</v>
      </c>
      <c r="F147" s="95">
        <v>11</v>
      </c>
      <c r="G147" s="95">
        <v>0</v>
      </c>
      <c r="H147" s="95">
        <v>8</v>
      </c>
      <c r="I147" s="94" t="s">
        <v>387</v>
      </c>
      <c r="J147" s="94" t="s">
        <v>388</v>
      </c>
      <c r="K147" s="154">
        <v>2024.57</v>
      </c>
    </row>
    <row r="148" spans="1:11" hidden="1" x14ac:dyDescent="0.2">
      <c r="A148" s="94" t="s">
        <v>265</v>
      </c>
      <c r="B148" s="95">
        <v>2025</v>
      </c>
      <c r="C148" s="95">
        <v>128</v>
      </c>
      <c r="D148" s="94" t="s">
        <v>369</v>
      </c>
      <c r="E148" s="94" t="s">
        <v>357</v>
      </c>
      <c r="F148" s="95">
        <v>11</v>
      </c>
      <c r="G148" s="95">
        <v>0</v>
      </c>
      <c r="H148" s="95">
        <v>8</v>
      </c>
      <c r="I148" s="94" t="s">
        <v>387</v>
      </c>
      <c r="J148" s="94" t="s">
        <v>388</v>
      </c>
      <c r="K148" s="154">
        <v>5850</v>
      </c>
    </row>
    <row r="149" spans="1:11" hidden="1" x14ac:dyDescent="0.2">
      <c r="A149" s="94" t="s">
        <v>265</v>
      </c>
      <c r="B149" s="95">
        <v>2025</v>
      </c>
      <c r="C149" s="95">
        <v>134</v>
      </c>
      <c r="D149" s="94" t="s">
        <v>374</v>
      </c>
      <c r="E149" s="94" t="s">
        <v>268</v>
      </c>
      <c r="F149" s="95">
        <v>11</v>
      </c>
      <c r="G149" s="95">
        <v>0</v>
      </c>
      <c r="H149" s="95">
        <v>8</v>
      </c>
      <c r="I149" s="94" t="s">
        <v>387</v>
      </c>
      <c r="J149" s="94" t="s">
        <v>388</v>
      </c>
      <c r="K149" s="154">
        <v>6885</v>
      </c>
    </row>
    <row r="150" spans="1:11" hidden="1" x14ac:dyDescent="0.2">
      <c r="A150" s="94" t="s">
        <v>265</v>
      </c>
      <c r="B150" s="95">
        <v>2025</v>
      </c>
      <c r="C150" s="95">
        <v>135</v>
      </c>
      <c r="D150" s="94" t="s">
        <v>375</v>
      </c>
      <c r="E150" s="94" t="s">
        <v>268</v>
      </c>
      <c r="F150" s="95">
        <v>11</v>
      </c>
      <c r="G150" s="95">
        <v>0</v>
      </c>
      <c r="H150" s="95">
        <v>8</v>
      </c>
      <c r="I150" s="94" t="s">
        <v>387</v>
      </c>
      <c r="J150" s="94" t="s">
        <v>388</v>
      </c>
      <c r="K150" s="154">
        <v>8437.5</v>
      </c>
    </row>
    <row r="151" spans="1:11" hidden="1" x14ac:dyDescent="0.2">
      <c r="A151" s="94" t="s">
        <v>265</v>
      </c>
      <c r="B151" s="95">
        <v>2025</v>
      </c>
      <c r="C151" s="95">
        <v>137</v>
      </c>
      <c r="D151" s="94" t="s">
        <v>377</v>
      </c>
      <c r="E151" s="94" t="s">
        <v>268</v>
      </c>
      <c r="F151" s="95">
        <v>11</v>
      </c>
      <c r="G151" s="95">
        <v>0</v>
      </c>
      <c r="H151" s="95">
        <v>9</v>
      </c>
      <c r="I151" s="94" t="s">
        <v>387</v>
      </c>
      <c r="J151" s="94" t="s">
        <v>389</v>
      </c>
      <c r="K151" s="154">
        <v>-53.9</v>
      </c>
    </row>
  </sheetData>
  <autoFilter ref="A1:K151" xr:uid="{5C1D4316-0824-4090-AD4C-F7C4FF5987B2}">
    <filterColumn colId="7">
      <filters>
        <filter val="13"/>
        <filter val="16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DF92-DCF5-4422-AFE5-2E9D296E983C}">
  <dimension ref="A1:R196"/>
  <sheetViews>
    <sheetView rightToLeft="1" topLeftCell="I1" zoomScaleNormal="115" workbookViewId="0">
      <pane ySplit="1" topLeftCell="A2" activePane="bottomLeft" state="frozen"/>
      <selection pane="bottomLeft" activeCell="L3" sqref="L3"/>
    </sheetView>
  </sheetViews>
  <sheetFormatPr baseColWidth="10" defaultColWidth="8.83203125" defaultRowHeight="15" x14ac:dyDescent="0.2"/>
  <cols>
    <col min="1" max="1" width="20.83203125" bestFit="1" customWidth="1"/>
    <col min="3" max="3" width="21.33203125" customWidth="1"/>
    <col min="4" max="4" width="14.33203125" style="131" bestFit="1" customWidth="1"/>
    <col min="5" max="5" width="10.83203125" style="131" bestFit="1" customWidth="1"/>
    <col min="6" max="6" width="17.83203125" style="132" bestFit="1" customWidth="1"/>
    <col min="7" max="8" width="17.83203125" customWidth="1"/>
    <col min="9" max="9" width="23.1640625" bestFit="1" customWidth="1"/>
    <col min="10" max="10" width="18.83203125" bestFit="1" customWidth="1"/>
    <col min="11" max="11" width="18" bestFit="1" customWidth="1"/>
    <col min="12" max="12" width="28.6640625" customWidth="1"/>
    <col min="13" max="13" width="28.6640625" bestFit="1" customWidth="1"/>
    <col min="14" max="14" width="28.6640625" customWidth="1"/>
    <col min="15" max="15" width="28.83203125" bestFit="1" customWidth="1"/>
    <col min="16" max="17" width="28.83203125" customWidth="1"/>
    <col min="18" max="18" width="13.6640625" bestFit="1" customWidth="1"/>
  </cols>
  <sheetData>
    <row r="1" spans="1:18" s="121" customFormat="1" ht="23.25" customHeight="1" x14ac:dyDescent="0.2">
      <c r="A1" s="113" t="s">
        <v>395</v>
      </c>
      <c r="B1" s="113" t="s">
        <v>396</v>
      </c>
      <c r="C1" s="113" t="s">
        <v>5</v>
      </c>
      <c r="D1" s="114" t="s">
        <v>397</v>
      </c>
      <c r="E1" s="114" t="s">
        <v>398</v>
      </c>
      <c r="F1" s="115" t="s">
        <v>399</v>
      </c>
      <c r="G1" s="116" t="s">
        <v>400</v>
      </c>
      <c r="H1" s="116" t="s">
        <v>401</v>
      </c>
      <c r="I1" s="113" t="s">
        <v>402</v>
      </c>
      <c r="J1" s="113" t="s">
        <v>403</v>
      </c>
      <c r="K1" s="113" t="s">
        <v>404</v>
      </c>
      <c r="L1" s="117" t="s">
        <v>405</v>
      </c>
      <c r="M1" s="113" t="s">
        <v>406</v>
      </c>
      <c r="N1" s="117" t="s">
        <v>407</v>
      </c>
      <c r="O1" s="118" t="s">
        <v>408</v>
      </c>
      <c r="P1" s="119" t="s">
        <v>409</v>
      </c>
      <c r="Q1" s="119" t="s">
        <v>410</v>
      </c>
      <c r="R1" s="120" t="s">
        <v>411</v>
      </c>
    </row>
    <row r="2" spans="1:18" s="122" customFormat="1" x14ac:dyDescent="0.2">
      <c r="A2" s="122" t="s">
        <v>412</v>
      </c>
      <c r="B2" s="123" t="s">
        <v>413</v>
      </c>
      <c r="C2" s="122">
        <v>206963159</v>
      </c>
      <c r="D2" s="124">
        <v>45960</v>
      </c>
      <c r="E2" s="124">
        <v>45460</v>
      </c>
      <c r="F2" s="115">
        <v>5565.8512974407113</v>
      </c>
      <c r="G2" s="115">
        <v>3.2347999999999999</v>
      </c>
      <c r="H2" s="125">
        <f>F2*G2</f>
        <v>18004.415776961214</v>
      </c>
      <c r="I2" s="126">
        <v>0.62170000000000003</v>
      </c>
      <c r="J2" s="127">
        <v>0.3</v>
      </c>
      <c r="K2" s="125">
        <v>18004.415776961214</v>
      </c>
      <c r="L2" s="128">
        <f t="shared" ref="L2:L33" si="0">I2*K2</f>
        <v>11193.345288536788</v>
      </c>
      <c r="M2" s="125">
        <v>0</v>
      </c>
      <c r="N2" s="128">
        <f t="shared" ref="N2:N33" si="1">M2*J2</f>
        <v>0</v>
      </c>
      <c r="O2" s="125">
        <v>11193.345288536786</v>
      </c>
      <c r="P2" s="128" t="s">
        <v>414</v>
      </c>
      <c r="Q2" s="122" t="s">
        <v>168</v>
      </c>
      <c r="R2" s="129">
        <v>0</v>
      </c>
    </row>
    <row r="3" spans="1:18" s="122" customFormat="1" x14ac:dyDescent="0.2">
      <c r="A3" s="122" t="s">
        <v>412</v>
      </c>
      <c r="B3" s="123" t="s">
        <v>413</v>
      </c>
      <c r="C3" s="122">
        <v>206963159</v>
      </c>
      <c r="D3" s="124">
        <v>45960</v>
      </c>
      <c r="E3" s="124">
        <v>45642</v>
      </c>
      <c r="F3" s="115">
        <v>4606.2217633992095</v>
      </c>
      <c r="G3" s="115">
        <v>3.2347999999999999</v>
      </c>
      <c r="H3" s="125">
        <f>F3*G3</f>
        <v>14900.206160243762</v>
      </c>
      <c r="I3" s="126">
        <v>0.62170000000000003</v>
      </c>
      <c r="J3" s="127">
        <v>0.3</v>
      </c>
      <c r="K3" s="125">
        <v>14900.206160243762</v>
      </c>
      <c r="L3" s="128">
        <f t="shared" si="0"/>
        <v>9263.458169823547</v>
      </c>
      <c r="M3" s="125">
        <v>0</v>
      </c>
      <c r="N3" s="128">
        <f t="shared" si="1"/>
        <v>0</v>
      </c>
      <c r="O3" s="125">
        <v>9263.4581698235488</v>
      </c>
      <c r="P3" s="128" t="s">
        <v>414</v>
      </c>
      <c r="Q3" s="122" t="s">
        <v>168</v>
      </c>
      <c r="R3" s="129">
        <v>0</v>
      </c>
    </row>
    <row r="4" spans="1:18" s="122" customFormat="1" x14ac:dyDescent="0.2">
      <c r="A4" s="122" t="s">
        <v>415</v>
      </c>
      <c r="B4" s="123" t="s">
        <v>416</v>
      </c>
      <c r="C4" s="122">
        <v>32949166</v>
      </c>
      <c r="D4" s="124">
        <v>45943</v>
      </c>
      <c r="E4" s="124">
        <v>45551</v>
      </c>
      <c r="F4" s="115">
        <v>4391.9658460924256</v>
      </c>
      <c r="G4" s="115">
        <v>3.2759999999999998</v>
      </c>
      <c r="H4" s="125">
        <v>14388.080111798785</v>
      </c>
      <c r="I4" s="126">
        <v>0.62170000000000003</v>
      </c>
      <c r="J4" s="127">
        <v>0.3</v>
      </c>
      <c r="K4" s="125">
        <v>14388.080111798785</v>
      </c>
      <c r="L4" s="128">
        <f t="shared" si="0"/>
        <v>8945.0694055053045</v>
      </c>
      <c r="M4" s="125">
        <v>0</v>
      </c>
      <c r="N4" s="128">
        <f t="shared" si="1"/>
        <v>0</v>
      </c>
      <c r="O4" s="125">
        <v>8945.0694055053045</v>
      </c>
      <c r="P4" s="128" t="s">
        <v>414</v>
      </c>
      <c r="Q4" s="122" t="s">
        <v>166</v>
      </c>
      <c r="R4" s="129">
        <v>0</v>
      </c>
    </row>
    <row r="5" spans="1:18" s="122" customFormat="1" x14ac:dyDescent="0.2">
      <c r="A5" s="122" t="s">
        <v>417</v>
      </c>
      <c r="B5" s="123" t="s">
        <v>416</v>
      </c>
      <c r="C5" s="122">
        <v>28831709</v>
      </c>
      <c r="D5" s="124">
        <v>45953</v>
      </c>
      <c r="E5" s="124">
        <v>45043</v>
      </c>
      <c r="F5" s="115">
        <v>18759.35762264151</v>
      </c>
      <c r="G5" s="115">
        <v>3.2347999999999999</v>
      </c>
      <c r="H5" s="125">
        <v>60682.770037720751</v>
      </c>
      <c r="I5" s="126">
        <v>0.62170000000000003</v>
      </c>
      <c r="J5" s="127">
        <v>0.3</v>
      </c>
      <c r="K5" s="125">
        <v>20911.833404926027</v>
      </c>
      <c r="L5" s="128">
        <f t="shared" si="0"/>
        <v>13000.886827842511</v>
      </c>
      <c r="M5" s="125">
        <v>39770.936632794728</v>
      </c>
      <c r="N5" s="128">
        <f t="shared" si="1"/>
        <v>11931.280989838418</v>
      </c>
      <c r="O5" s="125">
        <v>24932.167817680929</v>
      </c>
      <c r="P5" s="128" t="s">
        <v>414</v>
      </c>
      <c r="Q5" s="122" t="s">
        <v>142</v>
      </c>
      <c r="R5" s="129">
        <v>0</v>
      </c>
    </row>
    <row r="6" spans="1:18" s="122" customFormat="1" x14ac:dyDescent="0.2">
      <c r="A6" s="122" t="s">
        <v>417</v>
      </c>
      <c r="B6" s="123" t="s">
        <v>416</v>
      </c>
      <c r="C6" s="122">
        <v>28831709</v>
      </c>
      <c r="D6" s="124">
        <v>45953</v>
      </c>
      <c r="E6" s="124">
        <v>45043</v>
      </c>
      <c r="F6" s="115">
        <v>18759.35762264151</v>
      </c>
      <c r="G6" s="115">
        <v>3.2347999999999999</v>
      </c>
      <c r="H6" s="125">
        <v>60682.770037720751</v>
      </c>
      <c r="I6" s="126">
        <v>0.62170000000000003</v>
      </c>
      <c r="J6" s="127">
        <v>0.3</v>
      </c>
      <c r="K6" s="125">
        <v>20911.833404926027</v>
      </c>
      <c r="L6" s="128">
        <f t="shared" si="0"/>
        <v>13000.886827842511</v>
      </c>
      <c r="M6" s="125">
        <v>39770.936632794728</v>
      </c>
      <c r="N6" s="128">
        <f t="shared" si="1"/>
        <v>11931.280989838418</v>
      </c>
      <c r="O6" s="125">
        <v>24932.167817680929</v>
      </c>
      <c r="P6" s="128" t="s">
        <v>414</v>
      </c>
      <c r="Q6" s="122" t="s">
        <v>142</v>
      </c>
      <c r="R6" s="129">
        <v>0</v>
      </c>
    </row>
    <row r="7" spans="1:18" s="122" customFormat="1" x14ac:dyDescent="0.2">
      <c r="A7" s="122" t="s">
        <v>417</v>
      </c>
      <c r="B7" s="123" t="s">
        <v>416</v>
      </c>
      <c r="C7" s="122">
        <v>28831709</v>
      </c>
      <c r="D7" s="124">
        <v>45954</v>
      </c>
      <c r="E7" s="124">
        <v>44894</v>
      </c>
      <c r="F7" s="115">
        <v>133599.89472132048</v>
      </c>
      <c r="G7" s="115">
        <v>3.2262</v>
      </c>
      <c r="H7" s="125">
        <v>431019.98034992412</v>
      </c>
      <c r="I7" s="126">
        <v>0.62170000000000003</v>
      </c>
      <c r="J7" s="127">
        <v>0.3</v>
      </c>
      <c r="K7" s="125">
        <v>186804.60610420813</v>
      </c>
      <c r="L7" s="128">
        <f t="shared" si="0"/>
        <v>116136.4236149862</v>
      </c>
      <c r="M7" s="125">
        <v>244215.37424571597</v>
      </c>
      <c r="N7" s="128">
        <f t="shared" si="1"/>
        <v>73264.612273714782</v>
      </c>
      <c r="O7" s="125">
        <v>189401.03588870098</v>
      </c>
      <c r="P7" s="128" t="s">
        <v>414</v>
      </c>
      <c r="Q7" s="122" t="s">
        <v>142</v>
      </c>
      <c r="R7" s="129">
        <v>0</v>
      </c>
    </row>
    <row r="8" spans="1:18" s="122" customFormat="1" x14ac:dyDescent="0.2">
      <c r="A8" s="122" t="s">
        <v>417</v>
      </c>
      <c r="B8" s="123" t="s">
        <v>416</v>
      </c>
      <c r="C8" s="122">
        <v>28831709</v>
      </c>
      <c r="D8" s="124">
        <v>45954</v>
      </c>
      <c r="E8" s="124">
        <v>45177</v>
      </c>
      <c r="F8" s="115">
        <v>24261.482092249476</v>
      </c>
      <c r="G8" s="115">
        <v>3.2262</v>
      </c>
      <c r="H8" s="125">
        <v>78272.393526015265</v>
      </c>
      <c r="I8" s="126">
        <v>0.62170000000000003</v>
      </c>
      <c r="J8" s="127">
        <v>0.3</v>
      </c>
      <c r="K8" s="125">
        <v>35666.632087831757</v>
      </c>
      <c r="L8" s="128">
        <f t="shared" si="0"/>
        <v>22173.945169005005</v>
      </c>
      <c r="M8" s="125">
        <v>42605.761438183501</v>
      </c>
      <c r="N8" s="128">
        <f t="shared" si="1"/>
        <v>12781.728431455051</v>
      </c>
      <c r="O8" s="125">
        <v>34955.673600460053</v>
      </c>
      <c r="P8" s="128" t="s">
        <v>414</v>
      </c>
      <c r="Q8" s="122" t="s">
        <v>142</v>
      </c>
      <c r="R8" s="129">
        <v>0</v>
      </c>
    </row>
    <row r="9" spans="1:18" s="122" customFormat="1" x14ac:dyDescent="0.2">
      <c r="A9" s="122" t="s">
        <v>417</v>
      </c>
      <c r="B9" s="123" t="s">
        <v>416</v>
      </c>
      <c r="C9" s="122">
        <v>28831709</v>
      </c>
      <c r="D9" s="124">
        <v>45954</v>
      </c>
      <c r="E9" s="124">
        <v>45043</v>
      </c>
      <c r="F9" s="115">
        <v>19732.672101696244</v>
      </c>
      <c r="G9" s="115">
        <v>3.2262</v>
      </c>
      <c r="H9" s="125">
        <v>63661.546734492418</v>
      </c>
      <c r="I9" s="126">
        <v>0.62170000000000003</v>
      </c>
      <c r="J9" s="127">
        <v>0.3</v>
      </c>
      <c r="K9" s="125">
        <v>20852.493385893322</v>
      </c>
      <c r="L9" s="128">
        <f t="shared" si="0"/>
        <v>12963.995138009879</v>
      </c>
      <c r="M9" s="125">
        <v>42809.053348599104</v>
      </c>
      <c r="N9" s="128">
        <f t="shared" si="1"/>
        <v>12842.71600457973</v>
      </c>
      <c r="O9" s="125">
        <v>25806.711142589611</v>
      </c>
      <c r="P9" s="128" t="s">
        <v>414</v>
      </c>
      <c r="Q9" s="122" t="s">
        <v>142</v>
      </c>
      <c r="R9" s="129">
        <v>0</v>
      </c>
    </row>
    <row r="10" spans="1:18" s="122" customFormat="1" x14ac:dyDescent="0.2">
      <c r="A10" s="122" t="s">
        <v>417</v>
      </c>
      <c r="B10" s="123" t="s">
        <v>416</v>
      </c>
      <c r="C10" s="122">
        <v>28831709</v>
      </c>
      <c r="D10" s="124">
        <v>45954</v>
      </c>
      <c r="E10" s="124">
        <v>44894</v>
      </c>
      <c r="F10" s="115">
        <v>133599.89472132048</v>
      </c>
      <c r="G10" s="115">
        <v>3.2262</v>
      </c>
      <c r="H10" s="125">
        <v>431019.98034992412</v>
      </c>
      <c r="I10" s="126">
        <v>0.62170000000000003</v>
      </c>
      <c r="J10" s="127">
        <v>0.3</v>
      </c>
      <c r="K10" s="125">
        <v>186804.60610420813</v>
      </c>
      <c r="L10" s="128">
        <f t="shared" si="0"/>
        <v>116136.4236149862</v>
      </c>
      <c r="M10" s="125">
        <v>244215.37424571597</v>
      </c>
      <c r="N10" s="128">
        <f t="shared" si="1"/>
        <v>73264.612273714782</v>
      </c>
      <c r="O10" s="125">
        <v>189401.03588870098</v>
      </c>
      <c r="P10" s="128" t="s">
        <v>414</v>
      </c>
      <c r="Q10" s="122" t="s">
        <v>142</v>
      </c>
      <c r="R10" s="129">
        <v>0</v>
      </c>
    </row>
    <row r="11" spans="1:18" s="122" customFormat="1" x14ac:dyDescent="0.2">
      <c r="A11" s="122" t="s">
        <v>417</v>
      </c>
      <c r="B11" s="123" t="s">
        <v>416</v>
      </c>
      <c r="C11" s="122">
        <v>28831709</v>
      </c>
      <c r="D11" s="124">
        <v>45954</v>
      </c>
      <c r="E11" s="124">
        <v>45177</v>
      </c>
      <c r="F11" s="115">
        <v>24584.96852014614</v>
      </c>
      <c r="G11" s="115">
        <v>3.2262</v>
      </c>
      <c r="H11" s="125">
        <v>79316.02543969547</v>
      </c>
      <c r="I11" s="126">
        <v>0.62170000000000003</v>
      </c>
      <c r="J11" s="127">
        <v>0.3</v>
      </c>
      <c r="K11" s="125">
        <v>36142.18718233618</v>
      </c>
      <c r="L11" s="128">
        <f t="shared" si="0"/>
        <v>22469.597771258403</v>
      </c>
      <c r="M11" s="125">
        <v>43173.838257359297</v>
      </c>
      <c r="N11" s="128">
        <f t="shared" si="1"/>
        <v>12952.151477207788</v>
      </c>
      <c r="O11" s="125">
        <v>35421.749248466193</v>
      </c>
      <c r="P11" s="128" t="s">
        <v>414</v>
      </c>
      <c r="Q11" s="122" t="s">
        <v>142</v>
      </c>
      <c r="R11" s="129">
        <v>0</v>
      </c>
    </row>
    <row r="12" spans="1:18" s="122" customFormat="1" x14ac:dyDescent="0.2">
      <c r="A12" s="122" t="s">
        <v>417</v>
      </c>
      <c r="B12" s="123" t="s">
        <v>416</v>
      </c>
      <c r="C12" s="122">
        <v>28831709</v>
      </c>
      <c r="D12" s="124">
        <v>45954</v>
      </c>
      <c r="E12" s="124">
        <v>45043</v>
      </c>
      <c r="F12" s="115">
        <v>19732.672101696244</v>
      </c>
      <c r="G12" s="115">
        <v>3.2262</v>
      </c>
      <c r="H12" s="125">
        <v>63661.546734492418</v>
      </c>
      <c r="I12" s="126">
        <v>0.62170000000000003</v>
      </c>
      <c r="J12" s="127">
        <v>0.3</v>
      </c>
      <c r="K12" s="125">
        <v>20852.493385893322</v>
      </c>
      <c r="L12" s="128">
        <f t="shared" si="0"/>
        <v>12963.995138009879</v>
      </c>
      <c r="M12" s="125">
        <v>42809.053348599104</v>
      </c>
      <c r="N12" s="128">
        <f t="shared" si="1"/>
        <v>12842.71600457973</v>
      </c>
      <c r="O12" s="125">
        <v>25806.711142589611</v>
      </c>
      <c r="P12" s="128" t="s">
        <v>414</v>
      </c>
      <c r="Q12" s="122" t="s">
        <v>142</v>
      </c>
      <c r="R12" s="129">
        <v>0</v>
      </c>
    </row>
    <row r="13" spans="1:18" s="122" customFormat="1" x14ac:dyDescent="0.2">
      <c r="A13" s="122" t="s">
        <v>417</v>
      </c>
      <c r="B13" s="123" t="s">
        <v>416</v>
      </c>
      <c r="C13" s="122">
        <v>28831709</v>
      </c>
      <c r="D13" s="124">
        <v>45954</v>
      </c>
      <c r="E13" s="124">
        <v>44894</v>
      </c>
      <c r="F13" s="115">
        <v>133923.38114921714</v>
      </c>
      <c r="G13" s="115">
        <v>3.2262</v>
      </c>
      <c r="H13" s="125">
        <v>432063.6122636043</v>
      </c>
      <c r="I13" s="126">
        <v>0.62170000000000003</v>
      </c>
      <c r="J13" s="127">
        <v>0.3</v>
      </c>
      <c r="K13" s="125">
        <v>187256.91749913359</v>
      </c>
      <c r="L13" s="128">
        <f t="shared" si="0"/>
        <v>116417.62560921136</v>
      </c>
      <c r="M13" s="125">
        <v>244806.69476447077</v>
      </c>
      <c r="N13" s="128">
        <f t="shared" si="1"/>
        <v>73442.008429341222</v>
      </c>
      <c r="O13" s="125">
        <v>189859.63403855258</v>
      </c>
      <c r="P13" s="128" t="s">
        <v>414</v>
      </c>
      <c r="Q13" s="122" t="s">
        <v>142</v>
      </c>
      <c r="R13" s="129">
        <v>0</v>
      </c>
    </row>
    <row r="14" spans="1:18" s="122" customFormat="1" x14ac:dyDescent="0.2">
      <c r="A14" s="122" t="s">
        <v>417</v>
      </c>
      <c r="B14" s="123" t="s">
        <v>413</v>
      </c>
      <c r="C14" s="122">
        <v>28831709</v>
      </c>
      <c r="D14" s="124">
        <v>45954</v>
      </c>
      <c r="E14" s="124">
        <v>45275</v>
      </c>
      <c r="F14" s="115">
        <v>13874.941680692902</v>
      </c>
      <c r="G14" s="115">
        <v>3.2262</v>
      </c>
      <c r="H14" s="125">
        <f>F14*G14</f>
        <v>44763.336850251442</v>
      </c>
      <c r="I14" s="126">
        <v>0.62170000000000003</v>
      </c>
      <c r="J14" s="127">
        <v>0.3</v>
      </c>
      <c r="K14" s="125">
        <v>44763.336850251442</v>
      </c>
      <c r="L14" s="128">
        <f t="shared" si="0"/>
        <v>27829.366519801322</v>
      </c>
      <c r="M14" s="125">
        <v>0</v>
      </c>
      <c r="N14" s="128">
        <f t="shared" si="1"/>
        <v>0</v>
      </c>
      <c r="O14" s="125">
        <v>27829.366519801319</v>
      </c>
      <c r="P14" s="128" t="s">
        <v>414</v>
      </c>
      <c r="Q14" s="122" t="s">
        <v>142</v>
      </c>
      <c r="R14" s="129">
        <v>0</v>
      </c>
    </row>
    <row r="15" spans="1:18" s="122" customFormat="1" x14ac:dyDescent="0.2">
      <c r="A15" s="122" t="s">
        <v>418</v>
      </c>
      <c r="B15" s="123" t="s">
        <v>416</v>
      </c>
      <c r="C15" s="122">
        <v>321285512</v>
      </c>
      <c r="D15" s="124">
        <v>45957</v>
      </c>
      <c r="E15" s="124">
        <v>45177</v>
      </c>
      <c r="F15" s="115">
        <v>13975.047316027689</v>
      </c>
      <c r="G15" s="115">
        <v>3.2292000000000001</v>
      </c>
      <c r="H15" s="125">
        <v>45128.222792916611</v>
      </c>
      <c r="I15" s="126">
        <v>0.62170000000000003</v>
      </c>
      <c r="J15" s="127">
        <v>0.3</v>
      </c>
      <c r="K15" s="125">
        <v>20466.450157542964</v>
      </c>
      <c r="L15" s="128">
        <f t="shared" si="0"/>
        <v>12723.99206294446</v>
      </c>
      <c r="M15" s="125">
        <v>24661.772635373647</v>
      </c>
      <c r="N15" s="128">
        <f t="shared" si="1"/>
        <v>7398.5317906120936</v>
      </c>
      <c r="O15" s="125">
        <v>20122.523853556555</v>
      </c>
      <c r="P15" s="128" t="s">
        <v>414</v>
      </c>
      <c r="Q15" s="122" t="s">
        <v>113</v>
      </c>
      <c r="R15" s="129">
        <v>0</v>
      </c>
    </row>
    <row r="16" spans="1:18" s="122" customFormat="1" x14ac:dyDescent="0.2">
      <c r="A16" s="122" t="s">
        <v>418</v>
      </c>
      <c r="B16" s="123" t="s">
        <v>416</v>
      </c>
      <c r="C16" s="122">
        <v>321285512</v>
      </c>
      <c r="D16" s="124">
        <v>45957</v>
      </c>
      <c r="E16" s="124">
        <v>44753</v>
      </c>
      <c r="F16" s="115">
        <v>41925.141948083066</v>
      </c>
      <c r="G16" s="115">
        <v>3.2292000000000001</v>
      </c>
      <c r="H16" s="125">
        <v>135384.66837874983</v>
      </c>
      <c r="I16" s="126">
        <v>0.62170000000000003</v>
      </c>
      <c r="J16" s="127">
        <v>0.3</v>
      </c>
      <c r="K16" s="125">
        <v>64268.106238296401</v>
      </c>
      <c r="L16" s="128">
        <f t="shared" si="0"/>
        <v>39955.481648348876</v>
      </c>
      <c r="M16" s="125">
        <v>71116.562140453447</v>
      </c>
      <c r="N16" s="128">
        <f t="shared" si="1"/>
        <v>21334.968642136035</v>
      </c>
      <c r="O16" s="125">
        <v>61290.450290484907</v>
      </c>
      <c r="P16" s="128" t="s">
        <v>414</v>
      </c>
      <c r="Q16" s="122" t="s">
        <v>113</v>
      </c>
      <c r="R16" s="129">
        <v>0</v>
      </c>
    </row>
    <row r="17" spans="1:18" s="122" customFormat="1" x14ac:dyDescent="0.2">
      <c r="A17" s="122" t="s">
        <v>418</v>
      </c>
      <c r="B17" s="123" t="s">
        <v>416</v>
      </c>
      <c r="C17" s="122">
        <v>321285512</v>
      </c>
      <c r="D17" s="124">
        <v>45957</v>
      </c>
      <c r="E17" s="124">
        <v>45177</v>
      </c>
      <c r="F17" s="115">
        <v>13975.047316027689</v>
      </c>
      <c r="G17" s="115">
        <v>3.2292000000000001</v>
      </c>
      <c r="H17" s="125">
        <v>45128.222792916611</v>
      </c>
      <c r="I17" s="126">
        <v>0.62170000000000003</v>
      </c>
      <c r="J17" s="127">
        <v>0.3</v>
      </c>
      <c r="K17" s="125">
        <v>20466.450157542964</v>
      </c>
      <c r="L17" s="128">
        <f t="shared" si="0"/>
        <v>12723.99206294446</v>
      </c>
      <c r="M17" s="125">
        <v>24661.772635373647</v>
      </c>
      <c r="N17" s="128">
        <f t="shared" si="1"/>
        <v>7398.5317906120936</v>
      </c>
      <c r="O17" s="125">
        <v>20122.523853556555</v>
      </c>
      <c r="P17" s="128" t="s">
        <v>414</v>
      </c>
      <c r="Q17" s="122" t="s">
        <v>113</v>
      </c>
      <c r="R17" s="129">
        <v>0</v>
      </c>
    </row>
    <row r="18" spans="1:18" s="122" customFormat="1" x14ac:dyDescent="0.2">
      <c r="A18" s="122" t="s">
        <v>418</v>
      </c>
      <c r="B18" s="123" t="s">
        <v>416</v>
      </c>
      <c r="C18" s="122">
        <v>321285512</v>
      </c>
      <c r="D18" s="124">
        <v>45957</v>
      </c>
      <c r="E18" s="124">
        <v>45177</v>
      </c>
      <c r="F18" s="115">
        <v>13975.047316027689</v>
      </c>
      <c r="G18" s="115">
        <v>3.2292000000000001</v>
      </c>
      <c r="H18" s="125">
        <v>45128.222792916611</v>
      </c>
      <c r="I18" s="126">
        <v>0.62170000000000003</v>
      </c>
      <c r="J18" s="127">
        <v>0.3</v>
      </c>
      <c r="K18" s="125">
        <v>20466.450157542964</v>
      </c>
      <c r="L18" s="128">
        <f t="shared" si="0"/>
        <v>12723.99206294446</v>
      </c>
      <c r="M18" s="125">
        <v>24661.772635373647</v>
      </c>
      <c r="N18" s="128">
        <f t="shared" si="1"/>
        <v>7398.5317906120936</v>
      </c>
      <c r="O18" s="125">
        <v>20122.523853556555</v>
      </c>
      <c r="P18" s="128" t="s">
        <v>414</v>
      </c>
      <c r="Q18" s="122" t="s">
        <v>113</v>
      </c>
      <c r="R18" s="129">
        <v>0</v>
      </c>
    </row>
    <row r="19" spans="1:18" s="122" customFormat="1" x14ac:dyDescent="0.2">
      <c r="A19" s="122" t="s">
        <v>418</v>
      </c>
      <c r="B19" s="123" t="s">
        <v>416</v>
      </c>
      <c r="C19" s="122">
        <v>321285512</v>
      </c>
      <c r="D19" s="124">
        <v>45957</v>
      </c>
      <c r="E19" s="124">
        <v>45177</v>
      </c>
      <c r="F19" s="115">
        <v>13975.047316027689</v>
      </c>
      <c r="G19" s="115">
        <v>3.2292000000000001</v>
      </c>
      <c r="H19" s="125">
        <v>45128.222792916611</v>
      </c>
      <c r="I19" s="126">
        <v>0.62170000000000003</v>
      </c>
      <c r="J19" s="127">
        <v>0.3</v>
      </c>
      <c r="K19" s="125">
        <v>20466.450157542964</v>
      </c>
      <c r="L19" s="128">
        <f t="shared" si="0"/>
        <v>12723.99206294446</v>
      </c>
      <c r="M19" s="125">
        <v>24661.772635373647</v>
      </c>
      <c r="N19" s="128">
        <f t="shared" si="1"/>
        <v>7398.5317906120936</v>
      </c>
      <c r="O19" s="125">
        <v>20122.523853556555</v>
      </c>
      <c r="P19" s="128" t="s">
        <v>414</v>
      </c>
      <c r="Q19" s="122" t="s">
        <v>113</v>
      </c>
      <c r="R19" s="129">
        <v>0</v>
      </c>
    </row>
    <row r="20" spans="1:18" s="122" customFormat="1" x14ac:dyDescent="0.2">
      <c r="A20" s="122" t="s">
        <v>418</v>
      </c>
      <c r="B20" s="123" t="s">
        <v>416</v>
      </c>
      <c r="C20" s="122">
        <v>321285512</v>
      </c>
      <c r="D20" s="124">
        <v>45957</v>
      </c>
      <c r="E20" s="124">
        <v>45177</v>
      </c>
      <c r="F20" s="115">
        <v>14300.048416400427</v>
      </c>
      <c r="G20" s="115">
        <v>3.2292000000000001</v>
      </c>
      <c r="H20" s="125">
        <v>46177.71634624026</v>
      </c>
      <c r="I20" s="126">
        <v>0.62170000000000003</v>
      </c>
      <c r="J20" s="127">
        <v>0.3</v>
      </c>
      <c r="K20" s="125">
        <v>20942.41411469513</v>
      </c>
      <c r="L20" s="128">
        <f t="shared" si="0"/>
        <v>13019.898855105963</v>
      </c>
      <c r="M20" s="125">
        <v>25235.302231545131</v>
      </c>
      <c r="N20" s="128">
        <f t="shared" si="1"/>
        <v>7570.5906694635387</v>
      </c>
      <c r="O20" s="125">
        <v>20590.489524569501</v>
      </c>
      <c r="P20" s="128" t="s">
        <v>414</v>
      </c>
      <c r="Q20" s="122" t="s">
        <v>113</v>
      </c>
      <c r="R20" s="129">
        <v>0</v>
      </c>
    </row>
    <row r="21" spans="1:18" s="122" customFormat="1" x14ac:dyDescent="0.2">
      <c r="A21" s="122" t="s">
        <v>418</v>
      </c>
      <c r="B21" s="123" t="s">
        <v>416</v>
      </c>
      <c r="C21" s="122">
        <v>321285512</v>
      </c>
      <c r="D21" s="124">
        <v>45957</v>
      </c>
      <c r="E21" s="124">
        <v>45177</v>
      </c>
      <c r="F21" s="115">
        <v>13975.047316027689</v>
      </c>
      <c r="G21" s="115">
        <v>3.2292000000000001</v>
      </c>
      <c r="H21" s="125">
        <v>45128.222792916611</v>
      </c>
      <c r="I21" s="126">
        <v>0.62170000000000003</v>
      </c>
      <c r="J21" s="127">
        <v>0.3</v>
      </c>
      <c r="K21" s="125">
        <v>20466.450157542964</v>
      </c>
      <c r="L21" s="128">
        <f t="shared" si="0"/>
        <v>12723.99206294446</v>
      </c>
      <c r="M21" s="125">
        <v>24661.772635373647</v>
      </c>
      <c r="N21" s="128">
        <f t="shared" si="1"/>
        <v>7398.5317906120936</v>
      </c>
      <c r="O21" s="125">
        <v>20122.523853556555</v>
      </c>
      <c r="P21" s="128" t="s">
        <v>414</v>
      </c>
      <c r="Q21" s="122" t="s">
        <v>113</v>
      </c>
      <c r="R21" s="129">
        <v>0</v>
      </c>
    </row>
    <row r="22" spans="1:18" s="122" customFormat="1" x14ac:dyDescent="0.2">
      <c r="A22" s="122" t="s">
        <v>418</v>
      </c>
      <c r="B22" s="123" t="s">
        <v>416</v>
      </c>
      <c r="C22" s="122">
        <v>321285512</v>
      </c>
      <c r="D22" s="124">
        <v>45957</v>
      </c>
      <c r="E22" s="124">
        <v>45177</v>
      </c>
      <c r="F22" s="115">
        <v>14300.048416400427</v>
      </c>
      <c r="G22" s="115">
        <v>3.2292000000000001</v>
      </c>
      <c r="H22" s="125">
        <v>46177.71634624026</v>
      </c>
      <c r="I22" s="126">
        <v>0.62170000000000003</v>
      </c>
      <c r="J22" s="127">
        <v>0.3</v>
      </c>
      <c r="K22" s="125">
        <v>20942.41411469513</v>
      </c>
      <c r="L22" s="128">
        <f t="shared" si="0"/>
        <v>13019.898855105963</v>
      </c>
      <c r="M22" s="125">
        <v>25235.302231545131</v>
      </c>
      <c r="N22" s="128">
        <f t="shared" si="1"/>
        <v>7570.5906694635387</v>
      </c>
      <c r="O22" s="125">
        <v>20590.489524569501</v>
      </c>
      <c r="P22" s="128" t="s">
        <v>414</v>
      </c>
      <c r="Q22" s="122" t="s">
        <v>113</v>
      </c>
      <c r="R22" s="129">
        <v>0</v>
      </c>
    </row>
    <row r="23" spans="1:18" s="122" customFormat="1" x14ac:dyDescent="0.2">
      <c r="A23" s="122" t="s">
        <v>418</v>
      </c>
      <c r="B23" s="123" t="s">
        <v>416</v>
      </c>
      <c r="C23" s="122">
        <v>321285512</v>
      </c>
      <c r="D23" s="124">
        <v>45957</v>
      </c>
      <c r="E23" s="124">
        <v>45177</v>
      </c>
      <c r="F23" s="115">
        <v>13975.047316027689</v>
      </c>
      <c r="G23" s="115">
        <v>3.2292000000000001</v>
      </c>
      <c r="H23" s="125">
        <v>45128.222792916611</v>
      </c>
      <c r="I23" s="126">
        <v>0.62170000000000003</v>
      </c>
      <c r="J23" s="127">
        <v>0.3</v>
      </c>
      <c r="K23" s="125">
        <v>20466.450157542964</v>
      </c>
      <c r="L23" s="128">
        <f t="shared" si="0"/>
        <v>12723.99206294446</v>
      </c>
      <c r="M23" s="125">
        <v>24661.772635373647</v>
      </c>
      <c r="N23" s="128">
        <f t="shared" si="1"/>
        <v>7398.5317906120936</v>
      </c>
      <c r="O23" s="125">
        <v>20122.523853556555</v>
      </c>
      <c r="P23" s="128" t="s">
        <v>414</v>
      </c>
      <c r="Q23" s="122" t="s">
        <v>113</v>
      </c>
      <c r="R23" s="129">
        <v>0</v>
      </c>
    </row>
    <row r="24" spans="1:18" s="122" customFormat="1" x14ac:dyDescent="0.2">
      <c r="A24" s="122" t="s">
        <v>418</v>
      </c>
      <c r="B24" s="123" t="s">
        <v>416</v>
      </c>
      <c r="C24" s="122">
        <v>321285512</v>
      </c>
      <c r="D24" s="124">
        <v>45957</v>
      </c>
      <c r="E24" s="124">
        <v>45043</v>
      </c>
      <c r="F24" s="115">
        <v>12025.040713791268</v>
      </c>
      <c r="G24" s="115">
        <v>3.2292000000000001</v>
      </c>
      <c r="H24" s="125">
        <v>38831.261472974766</v>
      </c>
      <c r="I24" s="126">
        <v>0.62170000000000003</v>
      </c>
      <c r="J24" s="127">
        <v>0.3</v>
      </c>
      <c r="K24" s="125">
        <v>12658.761178834564</v>
      </c>
      <c r="L24" s="128">
        <f t="shared" si="0"/>
        <v>7869.9518248814484</v>
      </c>
      <c r="M24" s="125">
        <v>26172.500294140198</v>
      </c>
      <c r="N24" s="128">
        <f t="shared" si="1"/>
        <v>7851.7500882420591</v>
      </c>
      <c r="O24" s="125">
        <v>15721.70191312351</v>
      </c>
      <c r="P24" s="128" t="s">
        <v>414</v>
      </c>
      <c r="Q24" s="122" t="s">
        <v>113</v>
      </c>
      <c r="R24" s="129">
        <v>0</v>
      </c>
    </row>
    <row r="25" spans="1:18" s="122" customFormat="1" x14ac:dyDescent="0.2">
      <c r="A25" s="122" t="s">
        <v>419</v>
      </c>
      <c r="B25" s="123" t="s">
        <v>416</v>
      </c>
      <c r="C25" s="122">
        <v>207763806</v>
      </c>
      <c r="D25" s="124">
        <v>45954</v>
      </c>
      <c r="E25" s="124">
        <v>45177</v>
      </c>
      <c r="F25" s="115">
        <v>7059.6970487265135</v>
      </c>
      <c r="G25" s="115">
        <v>3.2262</v>
      </c>
      <c r="H25" s="125">
        <v>22775.994618601479</v>
      </c>
      <c r="I25" s="126">
        <v>0.62170000000000003</v>
      </c>
      <c r="J25" s="127">
        <v>0.3</v>
      </c>
      <c r="K25" s="125">
        <v>10462.488354734314</v>
      </c>
      <c r="L25" s="128">
        <f t="shared" si="0"/>
        <v>6504.5290101383234</v>
      </c>
      <c r="M25" s="125">
        <v>12313.506263867164</v>
      </c>
      <c r="N25" s="128">
        <f t="shared" si="1"/>
        <v>3694.0518791601489</v>
      </c>
      <c r="O25" s="125">
        <v>10198.580889298471</v>
      </c>
      <c r="P25" s="128" t="s">
        <v>414</v>
      </c>
      <c r="Q25" s="122" t="s">
        <v>83</v>
      </c>
      <c r="R25" s="129">
        <v>0</v>
      </c>
    </row>
    <row r="26" spans="1:18" s="122" customFormat="1" x14ac:dyDescent="0.2">
      <c r="A26" s="122" t="s">
        <v>419</v>
      </c>
      <c r="B26" s="123" t="s">
        <v>416</v>
      </c>
      <c r="C26" s="122">
        <v>207763806</v>
      </c>
      <c r="D26" s="124">
        <v>45954</v>
      </c>
      <c r="E26" s="124">
        <v>44537</v>
      </c>
      <c r="F26" s="115">
        <v>7380.5923691231737</v>
      </c>
      <c r="G26" s="115">
        <v>3.2262</v>
      </c>
      <c r="H26" s="125">
        <v>23811.267101265184</v>
      </c>
      <c r="I26" s="126">
        <v>0.62170000000000003</v>
      </c>
      <c r="J26" s="127">
        <v>0.3</v>
      </c>
      <c r="K26" s="125">
        <v>23811.267101265184</v>
      </c>
      <c r="L26" s="128">
        <f t="shared" si="0"/>
        <v>14803.464756856565</v>
      </c>
      <c r="M26" s="125">
        <v>0</v>
      </c>
      <c r="N26" s="128">
        <f t="shared" si="1"/>
        <v>0</v>
      </c>
      <c r="O26" s="125">
        <v>14803.464756856565</v>
      </c>
      <c r="P26" s="128" t="s">
        <v>414</v>
      </c>
      <c r="Q26" s="122" t="s">
        <v>83</v>
      </c>
      <c r="R26" s="129">
        <v>0</v>
      </c>
    </row>
    <row r="27" spans="1:18" s="122" customFormat="1" x14ac:dyDescent="0.2">
      <c r="A27" s="122" t="s">
        <v>419</v>
      </c>
      <c r="B27" s="123" t="s">
        <v>416</v>
      </c>
      <c r="C27" s="122">
        <v>207763806</v>
      </c>
      <c r="D27" s="124">
        <v>45954</v>
      </c>
      <c r="E27" s="124">
        <v>45043</v>
      </c>
      <c r="F27" s="115">
        <v>5776.1157671398742</v>
      </c>
      <c r="G27" s="115">
        <v>3.2262</v>
      </c>
      <c r="H27" s="125">
        <v>18634.904687946662</v>
      </c>
      <c r="I27" s="126">
        <v>0.62170000000000003</v>
      </c>
      <c r="J27" s="127">
        <v>0.3</v>
      </c>
      <c r="K27" s="125">
        <v>6153.4208133108659</v>
      </c>
      <c r="L27" s="128">
        <f t="shared" si="0"/>
        <v>3825.5817196353655</v>
      </c>
      <c r="M27" s="125">
        <v>12481.483874635796</v>
      </c>
      <c r="N27" s="128">
        <f t="shared" si="1"/>
        <v>3744.4451623907389</v>
      </c>
      <c r="O27" s="125">
        <v>7570.0268820261035</v>
      </c>
      <c r="P27" s="128" t="s">
        <v>414</v>
      </c>
      <c r="Q27" s="122" t="s">
        <v>83</v>
      </c>
      <c r="R27" s="129">
        <v>0</v>
      </c>
    </row>
    <row r="28" spans="1:18" s="122" customFormat="1" x14ac:dyDescent="0.2">
      <c r="A28" s="122" t="s">
        <v>419</v>
      </c>
      <c r="B28" s="123" t="s">
        <v>416</v>
      </c>
      <c r="C28" s="122">
        <v>207763806</v>
      </c>
      <c r="D28" s="124">
        <v>45954</v>
      </c>
      <c r="E28" s="124">
        <v>44537</v>
      </c>
      <c r="F28" s="115">
        <v>7380.5923691231737</v>
      </c>
      <c r="G28" s="115">
        <v>3.2262</v>
      </c>
      <c r="H28" s="125">
        <v>23811.267101265184</v>
      </c>
      <c r="I28" s="126">
        <v>0.62170000000000003</v>
      </c>
      <c r="J28" s="127">
        <v>0.3</v>
      </c>
      <c r="K28" s="125">
        <v>23811.267101265184</v>
      </c>
      <c r="L28" s="128">
        <f t="shared" si="0"/>
        <v>14803.464756856565</v>
      </c>
      <c r="M28" s="125">
        <v>0</v>
      </c>
      <c r="N28" s="128">
        <f t="shared" si="1"/>
        <v>0</v>
      </c>
      <c r="O28" s="125">
        <v>14803.464756856565</v>
      </c>
      <c r="P28" s="128" t="s">
        <v>414</v>
      </c>
      <c r="Q28" s="122" t="s">
        <v>83</v>
      </c>
      <c r="R28" s="129">
        <v>0</v>
      </c>
    </row>
    <row r="29" spans="1:18" s="122" customFormat="1" x14ac:dyDescent="0.2">
      <c r="A29" s="122" t="s">
        <v>419</v>
      </c>
      <c r="B29" s="123" t="s">
        <v>416</v>
      </c>
      <c r="C29" s="122">
        <v>207763806</v>
      </c>
      <c r="D29" s="124">
        <v>45954</v>
      </c>
      <c r="E29" s="124">
        <v>45043</v>
      </c>
      <c r="F29" s="115">
        <v>5776.1157671398742</v>
      </c>
      <c r="G29" s="115">
        <v>3.2262</v>
      </c>
      <c r="H29" s="125">
        <v>18634.904687946662</v>
      </c>
      <c r="I29" s="126">
        <v>0.62170000000000003</v>
      </c>
      <c r="J29" s="127">
        <v>0.3</v>
      </c>
      <c r="K29" s="125">
        <v>6153.4208133108659</v>
      </c>
      <c r="L29" s="128">
        <f t="shared" si="0"/>
        <v>3825.5817196353655</v>
      </c>
      <c r="M29" s="125">
        <v>12481.483874635796</v>
      </c>
      <c r="N29" s="128">
        <f t="shared" si="1"/>
        <v>3744.4451623907389</v>
      </c>
      <c r="O29" s="125">
        <v>7570.0268820261035</v>
      </c>
      <c r="P29" s="128" t="s">
        <v>414</v>
      </c>
      <c r="Q29" s="122" t="s">
        <v>83</v>
      </c>
      <c r="R29" s="129">
        <v>0</v>
      </c>
    </row>
    <row r="30" spans="1:18" s="122" customFormat="1" x14ac:dyDescent="0.2">
      <c r="A30" s="122" t="s">
        <v>420</v>
      </c>
      <c r="B30" s="123" t="s">
        <v>416</v>
      </c>
      <c r="C30" s="122">
        <v>22992150</v>
      </c>
      <c r="D30" s="124">
        <v>45938</v>
      </c>
      <c r="E30" s="124">
        <v>45177</v>
      </c>
      <c r="F30" s="115">
        <v>21985.16255446686</v>
      </c>
      <c r="G30" s="115">
        <v>3.2722000000000002</v>
      </c>
      <c r="H30" s="125">
        <v>71939.848910726461</v>
      </c>
      <c r="I30" s="126">
        <v>0.62170000000000003</v>
      </c>
      <c r="J30" s="127">
        <v>0.3</v>
      </c>
      <c r="K30" s="125">
        <v>33764.029869703845</v>
      </c>
      <c r="L30" s="128">
        <f t="shared" si="0"/>
        <v>20991.097369994881</v>
      </c>
      <c r="M30" s="125">
        <v>38175.819041022623</v>
      </c>
      <c r="N30" s="128">
        <f t="shared" si="1"/>
        <v>11452.745712306787</v>
      </c>
      <c r="O30" s="125">
        <v>32443.843082301664</v>
      </c>
      <c r="P30" s="128" t="s">
        <v>414</v>
      </c>
      <c r="Q30" s="122" t="s">
        <v>152</v>
      </c>
      <c r="R30" s="129">
        <v>0</v>
      </c>
    </row>
    <row r="31" spans="1:18" s="122" customFormat="1" x14ac:dyDescent="0.2">
      <c r="A31" s="122" t="s">
        <v>420</v>
      </c>
      <c r="B31" s="123" t="s">
        <v>416</v>
      </c>
      <c r="C31" s="122">
        <v>22992150</v>
      </c>
      <c r="D31" s="124">
        <v>45938</v>
      </c>
      <c r="E31" s="124">
        <v>44875</v>
      </c>
      <c r="F31" s="115">
        <v>47678.434832939485</v>
      </c>
      <c r="G31" s="115">
        <v>3.2722000000000002</v>
      </c>
      <c r="H31" s="125">
        <v>156013.37446034458</v>
      </c>
      <c r="I31" s="126">
        <v>0.62170000000000003</v>
      </c>
      <c r="J31" s="127">
        <v>0.3</v>
      </c>
      <c r="K31" s="125">
        <v>77327.747174340548</v>
      </c>
      <c r="L31" s="128">
        <f t="shared" si="0"/>
        <v>48074.660418287523</v>
      </c>
      <c r="M31" s="125">
        <v>78685.627286004048</v>
      </c>
      <c r="N31" s="128">
        <f t="shared" si="1"/>
        <v>23605.688185801213</v>
      </c>
      <c r="O31" s="125">
        <v>71680.348604088736</v>
      </c>
      <c r="P31" s="128" t="s">
        <v>414</v>
      </c>
      <c r="Q31" s="122" t="s">
        <v>152</v>
      </c>
      <c r="R31" s="129">
        <v>0</v>
      </c>
    </row>
    <row r="32" spans="1:18" s="122" customFormat="1" x14ac:dyDescent="0.2">
      <c r="A32" s="122" t="s">
        <v>420</v>
      </c>
      <c r="B32" s="123" t="s">
        <v>416</v>
      </c>
      <c r="C32" s="122">
        <v>22992150</v>
      </c>
      <c r="D32" s="124">
        <v>45938</v>
      </c>
      <c r="E32" s="124">
        <v>45043</v>
      </c>
      <c r="F32" s="115">
        <v>11620.728778789624</v>
      </c>
      <c r="G32" s="115">
        <v>3.2722000000000002</v>
      </c>
      <c r="H32" s="125">
        <v>38025.348709955411</v>
      </c>
      <c r="I32" s="126">
        <v>0.62170000000000003</v>
      </c>
      <c r="J32" s="127">
        <v>0.3</v>
      </c>
      <c r="K32" s="125">
        <v>12828.85673835305</v>
      </c>
      <c r="L32" s="128">
        <f t="shared" si="0"/>
        <v>7975.7002342340911</v>
      </c>
      <c r="M32" s="125">
        <v>25196.491971602358</v>
      </c>
      <c r="N32" s="128">
        <f t="shared" si="1"/>
        <v>7558.9475914807072</v>
      </c>
      <c r="O32" s="125">
        <v>15534.647825714799</v>
      </c>
      <c r="P32" s="128" t="s">
        <v>414</v>
      </c>
      <c r="Q32" s="122" t="s">
        <v>152</v>
      </c>
      <c r="R32" s="129">
        <v>0</v>
      </c>
    </row>
    <row r="33" spans="1:18" s="122" customFormat="1" x14ac:dyDescent="0.2">
      <c r="A33" s="122" t="s">
        <v>420</v>
      </c>
      <c r="B33" s="123" t="s">
        <v>416</v>
      </c>
      <c r="C33" s="122">
        <v>22992150</v>
      </c>
      <c r="D33" s="124">
        <v>45953</v>
      </c>
      <c r="E33" s="124">
        <v>45177</v>
      </c>
      <c r="F33" s="115">
        <v>21752.171190283021</v>
      </c>
      <c r="G33" s="115">
        <v>3.2347999999999999</v>
      </c>
      <c r="H33" s="125">
        <v>70363.923366327508</v>
      </c>
      <c r="I33" s="126">
        <v>0.62170000000000003</v>
      </c>
      <c r="J33" s="127">
        <v>0.3</v>
      </c>
      <c r="K33" s="125">
        <v>32902.429481449217</v>
      </c>
      <c r="L33" s="128">
        <f t="shared" si="0"/>
        <v>20455.440408616978</v>
      </c>
      <c r="M33" s="125">
        <v>37461.493884878299</v>
      </c>
      <c r="N33" s="128">
        <f t="shared" si="1"/>
        <v>11238.448165463489</v>
      </c>
      <c r="O33" s="125">
        <v>31693.888574080469</v>
      </c>
      <c r="P33" s="128" t="s">
        <v>414</v>
      </c>
      <c r="Q33" s="122" t="s">
        <v>152</v>
      </c>
      <c r="R33" s="129">
        <v>0</v>
      </c>
    </row>
    <row r="34" spans="1:18" s="122" customFormat="1" x14ac:dyDescent="0.2">
      <c r="A34" s="122" t="s">
        <v>420</v>
      </c>
      <c r="B34" s="123" t="s">
        <v>416</v>
      </c>
      <c r="C34" s="122">
        <v>22992150</v>
      </c>
      <c r="D34" s="124">
        <v>45953</v>
      </c>
      <c r="E34" s="124">
        <v>45177</v>
      </c>
      <c r="F34" s="115">
        <v>21752.171190283021</v>
      </c>
      <c r="G34" s="115">
        <v>3.2347999999999999</v>
      </c>
      <c r="H34" s="125">
        <v>70363.923366327508</v>
      </c>
      <c r="I34" s="126">
        <v>0.62170000000000003</v>
      </c>
      <c r="J34" s="127">
        <v>0.3</v>
      </c>
      <c r="K34" s="125">
        <v>32902.429481449217</v>
      </c>
      <c r="L34" s="128">
        <f t="shared" ref="L34:L65" si="2">I34*K34</f>
        <v>20455.440408616978</v>
      </c>
      <c r="M34" s="125">
        <v>37461.493884878299</v>
      </c>
      <c r="N34" s="128">
        <f t="shared" ref="N34:N65" si="3">M34*J34</f>
        <v>11238.448165463489</v>
      </c>
      <c r="O34" s="125">
        <v>31693.888574080469</v>
      </c>
      <c r="P34" s="128" t="s">
        <v>414</v>
      </c>
      <c r="Q34" s="122" t="s">
        <v>152</v>
      </c>
      <c r="R34" s="129">
        <v>0</v>
      </c>
    </row>
    <row r="35" spans="1:18" s="122" customFormat="1" x14ac:dyDescent="0.2">
      <c r="A35" s="122" t="s">
        <v>420</v>
      </c>
      <c r="B35" s="123" t="s">
        <v>416</v>
      </c>
      <c r="C35" s="122">
        <v>22992150</v>
      </c>
      <c r="D35" s="124">
        <v>45953</v>
      </c>
      <c r="E35" s="124">
        <v>45177</v>
      </c>
      <c r="F35" s="115">
        <v>21752.171190283021</v>
      </c>
      <c r="G35" s="115">
        <v>3.2347999999999999</v>
      </c>
      <c r="H35" s="125">
        <v>70363.923366327508</v>
      </c>
      <c r="I35" s="126">
        <v>0.62170000000000003</v>
      </c>
      <c r="J35" s="127">
        <v>0.3</v>
      </c>
      <c r="K35" s="125">
        <v>32902.429481449217</v>
      </c>
      <c r="L35" s="128">
        <f t="shared" si="2"/>
        <v>20455.440408616978</v>
      </c>
      <c r="M35" s="125">
        <v>37461.493884878299</v>
      </c>
      <c r="N35" s="128">
        <f t="shared" si="3"/>
        <v>11238.448165463489</v>
      </c>
      <c r="O35" s="125">
        <v>31693.888574080469</v>
      </c>
      <c r="P35" s="128" t="s">
        <v>414</v>
      </c>
      <c r="Q35" s="122" t="s">
        <v>152</v>
      </c>
      <c r="R35" s="129">
        <v>0</v>
      </c>
    </row>
    <row r="36" spans="1:18" s="122" customFormat="1" x14ac:dyDescent="0.2">
      <c r="A36" s="122" t="s">
        <v>421</v>
      </c>
      <c r="B36" s="123" t="s">
        <v>416</v>
      </c>
      <c r="C36" s="122">
        <v>302753595</v>
      </c>
      <c r="D36" s="124">
        <v>45961</v>
      </c>
      <c r="E36" s="124">
        <v>44907</v>
      </c>
      <c r="F36" s="115">
        <v>45980.514473851268</v>
      </c>
      <c r="G36" s="115">
        <v>3.2515999999999998</v>
      </c>
      <c r="H36" s="125">
        <v>149510.24086317478</v>
      </c>
      <c r="I36" s="126">
        <v>0.62170000000000003</v>
      </c>
      <c r="J36" s="127">
        <v>0.3</v>
      </c>
      <c r="K36" s="125">
        <v>60396.228209909175</v>
      </c>
      <c r="L36" s="128">
        <f t="shared" si="2"/>
        <v>37548.335078100536</v>
      </c>
      <c r="M36" s="125">
        <v>89114.0126532656</v>
      </c>
      <c r="N36" s="128">
        <f t="shared" si="3"/>
        <v>26734.20379597968</v>
      </c>
      <c r="O36" s="125">
        <v>64282.538874080208</v>
      </c>
      <c r="P36" s="128" t="s">
        <v>414</v>
      </c>
      <c r="Q36" s="122" t="s">
        <v>160</v>
      </c>
      <c r="R36" s="129">
        <v>0</v>
      </c>
    </row>
    <row r="37" spans="1:18" s="122" customFormat="1" x14ac:dyDescent="0.2">
      <c r="A37" s="122" t="s">
        <v>421</v>
      </c>
      <c r="B37" s="123" t="s">
        <v>416</v>
      </c>
      <c r="C37" s="122">
        <v>302753595</v>
      </c>
      <c r="D37" s="124">
        <v>45961</v>
      </c>
      <c r="E37" s="124">
        <v>45177</v>
      </c>
      <c r="F37" s="115">
        <v>14122.586588397175</v>
      </c>
      <c r="G37" s="115">
        <v>3.2515999999999998</v>
      </c>
      <c r="H37" s="125">
        <v>45921.002550832251</v>
      </c>
      <c r="I37" s="126">
        <v>0.62170000000000003</v>
      </c>
      <c r="J37" s="127">
        <v>0.3</v>
      </c>
      <c r="K37" s="125">
        <v>20608.496158092523</v>
      </c>
      <c r="L37" s="128">
        <f t="shared" si="2"/>
        <v>12812.302061486122</v>
      </c>
      <c r="M37" s="125">
        <v>25312.506392739728</v>
      </c>
      <c r="N37" s="128">
        <f t="shared" si="3"/>
        <v>7593.7519178219181</v>
      </c>
      <c r="O37" s="125">
        <v>20406.053979308042</v>
      </c>
      <c r="P37" s="128" t="s">
        <v>414</v>
      </c>
      <c r="Q37" s="122" t="s">
        <v>160</v>
      </c>
      <c r="R37" s="129">
        <v>0</v>
      </c>
    </row>
    <row r="38" spans="1:18" s="122" customFormat="1" x14ac:dyDescent="0.2">
      <c r="A38" s="122" t="s">
        <v>421</v>
      </c>
      <c r="B38" s="123" t="s">
        <v>416</v>
      </c>
      <c r="C38" s="122">
        <v>302753595</v>
      </c>
      <c r="D38" s="124">
        <v>45961</v>
      </c>
      <c r="E38" s="124">
        <v>45177</v>
      </c>
      <c r="F38" s="115">
        <v>14122.586588397175</v>
      </c>
      <c r="G38" s="115">
        <v>3.2515999999999998</v>
      </c>
      <c r="H38" s="125">
        <v>45921.002550832251</v>
      </c>
      <c r="I38" s="126">
        <v>0.62170000000000003</v>
      </c>
      <c r="J38" s="127">
        <v>0.3</v>
      </c>
      <c r="K38" s="125">
        <v>20608.496158092523</v>
      </c>
      <c r="L38" s="128">
        <f t="shared" si="2"/>
        <v>12812.302061486122</v>
      </c>
      <c r="M38" s="125">
        <v>25312.506392739728</v>
      </c>
      <c r="N38" s="128">
        <f t="shared" si="3"/>
        <v>7593.7519178219181</v>
      </c>
      <c r="O38" s="125">
        <v>20406.053979308042</v>
      </c>
      <c r="P38" s="128" t="s">
        <v>414</v>
      </c>
      <c r="Q38" s="122" t="s">
        <v>160</v>
      </c>
      <c r="R38" s="129">
        <v>0</v>
      </c>
    </row>
    <row r="39" spans="1:18" s="122" customFormat="1" x14ac:dyDescent="0.2">
      <c r="A39" s="122" t="s">
        <v>421</v>
      </c>
      <c r="B39" s="123" t="s">
        <v>416</v>
      </c>
      <c r="C39" s="122">
        <v>302753595</v>
      </c>
      <c r="D39" s="124">
        <v>45961</v>
      </c>
      <c r="E39" s="124">
        <v>45177</v>
      </c>
      <c r="F39" s="115">
        <v>14122.586588397175</v>
      </c>
      <c r="G39" s="115">
        <v>3.2515999999999998</v>
      </c>
      <c r="H39" s="125">
        <v>45921.002550832251</v>
      </c>
      <c r="I39" s="126">
        <v>0.62170000000000003</v>
      </c>
      <c r="J39" s="127">
        <v>0.3</v>
      </c>
      <c r="K39" s="125">
        <v>20608.496158092523</v>
      </c>
      <c r="L39" s="128">
        <f t="shared" si="2"/>
        <v>12812.302061486122</v>
      </c>
      <c r="M39" s="125">
        <v>25312.506392739728</v>
      </c>
      <c r="N39" s="128">
        <f t="shared" si="3"/>
        <v>7593.7519178219181</v>
      </c>
      <c r="O39" s="125">
        <v>20406.053979308042</v>
      </c>
      <c r="P39" s="128" t="s">
        <v>414</v>
      </c>
      <c r="Q39" s="122" t="s">
        <v>160</v>
      </c>
      <c r="R39" s="129">
        <v>0</v>
      </c>
    </row>
    <row r="40" spans="1:18" s="122" customFormat="1" x14ac:dyDescent="0.2">
      <c r="A40" s="122" t="s">
        <v>421</v>
      </c>
      <c r="B40" s="123" t="s">
        <v>416</v>
      </c>
      <c r="C40" s="122">
        <v>302753595</v>
      </c>
      <c r="D40" s="124">
        <v>45961</v>
      </c>
      <c r="E40" s="124">
        <v>44907</v>
      </c>
      <c r="F40" s="115">
        <v>45980.514473851268</v>
      </c>
      <c r="G40" s="115">
        <v>3.2515999999999998</v>
      </c>
      <c r="H40" s="125">
        <v>149510.24086317478</v>
      </c>
      <c r="I40" s="126">
        <v>0.62170000000000003</v>
      </c>
      <c r="J40" s="127">
        <v>0.3</v>
      </c>
      <c r="K40" s="125">
        <v>60396.228209909175</v>
      </c>
      <c r="L40" s="128">
        <f t="shared" si="2"/>
        <v>37548.335078100536</v>
      </c>
      <c r="M40" s="125">
        <v>89114.0126532656</v>
      </c>
      <c r="N40" s="128">
        <f t="shared" si="3"/>
        <v>26734.20379597968</v>
      </c>
      <c r="O40" s="125">
        <v>64282.538874080208</v>
      </c>
      <c r="P40" s="128" t="s">
        <v>414</v>
      </c>
      <c r="Q40" s="122" t="s">
        <v>160</v>
      </c>
      <c r="R40" s="129">
        <v>0</v>
      </c>
    </row>
    <row r="41" spans="1:18" s="122" customFormat="1" x14ac:dyDescent="0.2">
      <c r="A41" s="122" t="s">
        <v>421</v>
      </c>
      <c r="B41" s="123" t="s">
        <v>416</v>
      </c>
      <c r="C41" s="122">
        <v>302753595</v>
      </c>
      <c r="D41" s="124">
        <v>45961</v>
      </c>
      <c r="E41" s="124">
        <v>45177</v>
      </c>
      <c r="F41" s="115">
        <v>14451.01883463897</v>
      </c>
      <c r="G41" s="115">
        <v>3.2515999999999998</v>
      </c>
      <c r="H41" s="125">
        <v>46988.932842712071</v>
      </c>
      <c r="I41" s="126">
        <v>0.62170000000000003</v>
      </c>
      <c r="J41" s="127">
        <v>0.3</v>
      </c>
      <c r="K41" s="125">
        <v>21087.763510606303</v>
      </c>
      <c r="L41" s="128">
        <f t="shared" si="2"/>
        <v>13110.262574543938</v>
      </c>
      <c r="M41" s="125">
        <v>25901.169332105768</v>
      </c>
      <c r="N41" s="128">
        <f t="shared" si="3"/>
        <v>7770.3507996317303</v>
      </c>
      <c r="O41" s="125">
        <v>20880.613374175668</v>
      </c>
      <c r="P41" s="128" t="s">
        <v>414</v>
      </c>
      <c r="Q41" s="122" t="s">
        <v>160</v>
      </c>
      <c r="R41" s="129">
        <v>0</v>
      </c>
    </row>
    <row r="42" spans="1:18" s="122" customFormat="1" x14ac:dyDescent="0.2">
      <c r="A42" s="122" t="s">
        <v>421</v>
      </c>
      <c r="B42" s="123" t="s">
        <v>416</v>
      </c>
      <c r="C42" s="122">
        <v>302753595</v>
      </c>
      <c r="D42" s="124">
        <v>45961</v>
      </c>
      <c r="E42" s="124">
        <v>45177</v>
      </c>
      <c r="F42" s="115">
        <v>14122.586588397175</v>
      </c>
      <c r="G42" s="115">
        <v>3.2515999999999998</v>
      </c>
      <c r="H42" s="125">
        <v>45921.002550832251</v>
      </c>
      <c r="I42" s="126">
        <v>0.62170000000000003</v>
      </c>
      <c r="J42" s="127">
        <v>0.3</v>
      </c>
      <c r="K42" s="125">
        <v>20608.496158092523</v>
      </c>
      <c r="L42" s="128">
        <f t="shared" si="2"/>
        <v>12812.302061486122</v>
      </c>
      <c r="M42" s="125">
        <v>25312.506392739728</v>
      </c>
      <c r="N42" s="128">
        <f t="shared" si="3"/>
        <v>7593.7519178219181</v>
      </c>
      <c r="O42" s="125">
        <v>20406.053979308042</v>
      </c>
      <c r="P42" s="128" t="s">
        <v>414</v>
      </c>
      <c r="Q42" s="122" t="s">
        <v>160</v>
      </c>
      <c r="R42" s="129">
        <v>0</v>
      </c>
    </row>
    <row r="43" spans="1:18" s="122" customFormat="1" x14ac:dyDescent="0.2">
      <c r="A43" s="122" t="s">
        <v>421</v>
      </c>
      <c r="B43" s="123" t="s">
        <v>416</v>
      </c>
      <c r="C43" s="122">
        <v>302753595</v>
      </c>
      <c r="D43" s="124">
        <v>45961</v>
      </c>
      <c r="E43" s="124">
        <v>45177</v>
      </c>
      <c r="F43" s="115">
        <v>14122.586588397175</v>
      </c>
      <c r="G43" s="115">
        <v>3.2515999999999998</v>
      </c>
      <c r="H43" s="125">
        <v>45921.002550832251</v>
      </c>
      <c r="I43" s="126">
        <v>0.62170000000000003</v>
      </c>
      <c r="J43" s="127">
        <v>0.3</v>
      </c>
      <c r="K43" s="125">
        <v>20608.496158092523</v>
      </c>
      <c r="L43" s="128">
        <f t="shared" si="2"/>
        <v>12812.302061486122</v>
      </c>
      <c r="M43" s="125">
        <v>25312.506392739728</v>
      </c>
      <c r="N43" s="128">
        <f t="shared" si="3"/>
        <v>7593.7519178219181</v>
      </c>
      <c r="O43" s="125">
        <v>20406.053979308042</v>
      </c>
      <c r="P43" s="128" t="s">
        <v>414</v>
      </c>
      <c r="Q43" s="122" t="s">
        <v>160</v>
      </c>
      <c r="R43" s="129">
        <v>0</v>
      </c>
    </row>
    <row r="44" spans="1:18" s="122" customFormat="1" x14ac:dyDescent="0.2">
      <c r="A44" s="122" t="s">
        <v>422</v>
      </c>
      <c r="B44" s="123" t="s">
        <v>416</v>
      </c>
      <c r="C44" s="122">
        <v>13641527</v>
      </c>
      <c r="D44" s="124">
        <v>45932</v>
      </c>
      <c r="E44" s="124">
        <v>44783</v>
      </c>
      <c r="F44" s="115">
        <v>13984.040383194057</v>
      </c>
      <c r="G44" s="115">
        <v>3.2610999999999999</v>
      </c>
      <c r="H44" s="125">
        <v>45603.354093634138</v>
      </c>
      <c r="I44" s="126">
        <v>0.62170000000000003</v>
      </c>
      <c r="J44" s="127">
        <v>0.3</v>
      </c>
      <c r="K44" s="125">
        <v>23528.979051357888</v>
      </c>
      <c r="L44" s="128">
        <f t="shared" si="2"/>
        <v>14627.966276229199</v>
      </c>
      <c r="M44" s="125">
        <v>22074.375042276246</v>
      </c>
      <c r="N44" s="128">
        <f t="shared" si="3"/>
        <v>6622.3125126828736</v>
      </c>
      <c r="O44" s="125">
        <v>21250.278788912074</v>
      </c>
      <c r="P44" s="128" t="s">
        <v>414</v>
      </c>
      <c r="Q44" s="122" t="s">
        <v>119</v>
      </c>
      <c r="R44" s="129">
        <v>0</v>
      </c>
    </row>
    <row r="45" spans="1:18" s="122" customFormat="1" x14ac:dyDescent="0.2">
      <c r="A45" s="122" t="s">
        <v>422</v>
      </c>
      <c r="B45" s="123" t="s">
        <v>416</v>
      </c>
      <c r="C45" s="122">
        <v>13641527</v>
      </c>
      <c r="D45" s="124">
        <v>45950</v>
      </c>
      <c r="E45" s="124">
        <v>44783</v>
      </c>
      <c r="F45" s="115">
        <v>14003.093257551178</v>
      </c>
      <c r="G45" s="115">
        <v>3.2747999999999999</v>
      </c>
      <c r="H45" s="125">
        <v>45857.3297998286</v>
      </c>
      <c r="I45" s="126">
        <v>0.62170000000000003</v>
      </c>
      <c r="J45" s="127">
        <v>0.3</v>
      </c>
      <c r="K45" s="125">
        <v>23623.786910366052</v>
      </c>
      <c r="L45" s="128">
        <f t="shared" si="2"/>
        <v>14686.908322174575</v>
      </c>
      <c r="M45" s="125">
        <v>22233.542889462547</v>
      </c>
      <c r="N45" s="128">
        <f t="shared" si="3"/>
        <v>6670.0628668387644</v>
      </c>
      <c r="O45" s="125">
        <v>21356.97118901334</v>
      </c>
      <c r="P45" s="128" t="s">
        <v>414</v>
      </c>
      <c r="Q45" s="122" t="s">
        <v>119</v>
      </c>
      <c r="R45" s="129">
        <v>0</v>
      </c>
    </row>
    <row r="46" spans="1:18" s="122" customFormat="1" x14ac:dyDescent="0.2">
      <c r="A46" s="122" t="s">
        <v>423</v>
      </c>
      <c r="B46" s="123" t="s">
        <v>416</v>
      </c>
      <c r="C46" s="122">
        <v>306555863</v>
      </c>
      <c r="D46" s="124">
        <v>45932</v>
      </c>
      <c r="E46" s="124">
        <v>44985</v>
      </c>
      <c r="F46" s="115">
        <v>92121.349663656889</v>
      </c>
      <c r="G46" s="115">
        <v>3.2610999999999999</v>
      </c>
      <c r="H46" s="125">
        <v>300416.93338815146</v>
      </c>
      <c r="I46" s="126">
        <v>0.62170000000000003</v>
      </c>
      <c r="J46" s="127">
        <v>0.3</v>
      </c>
      <c r="K46" s="125">
        <v>125125.63507692551</v>
      </c>
      <c r="L46" s="128">
        <f t="shared" si="2"/>
        <v>77790.607327324586</v>
      </c>
      <c r="M46" s="125">
        <v>175291.29831122595</v>
      </c>
      <c r="N46" s="128">
        <f t="shared" si="3"/>
        <v>52587.389493367788</v>
      </c>
      <c r="O46" s="125">
        <v>130377.99682069238</v>
      </c>
      <c r="P46" s="128" t="s">
        <v>424</v>
      </c>
      <c r="Q46" s="122" t="s">
        <v>208</v>
      </c>
      <c r="R46" s="129">
        <v>0</v>
      </c>
    </row>
    <row r="47" spans="1:18" s="122" customFormat="1" x14ac:dyDescent="0.2">
      <c r="A47" s="122" t="s">
        <v>423</v>
      </c>
      <c r="B47" s="123" t="s">
        <v>416</v>
      </c>
      <c r="C47" s="122">
        <v>306555863</v>
      </c>
      <c r="D47" s="124">
        <v>45940</v>
      </c>
      <c r="E47" s="124">
        <v>45177</v>
      </c>
      <c r="F47" s="115">
        <v>34398.652757341573</v>
      </c>
      <c r="G47" s="115">
        <v>3.2759999999999998</v>
      </c>
      <c r="H47" s="125">
        <v>112689.98643305099</v>
      </c>
      <c r="I47" s="126">
        <v>0.62170000000000003</v>
      </c>
      <c r="J47" s="127">
        <v>0.3</v>
      </c>
      <c r="K47" s="125">
        <v>52150.843548175784</v>
      </c>
      <c r="L47" s="128">
        <f t="shared" si="2"/>
        <v>32422.179433900888</v>
      </c>
      <c r="M47" s="125">
        <v>60539.142884875211</v>
      </c>
      <c r="N47" s="128">
        <f t="shared" si="3"/>
        <v>18161.742865462562</v>
      </c>
      <c r="O47" s="125">
        <v>50583.922299363447</v>
      </c>
      <c r="P47" s="128" t="s">
        <v>424</v>
      </c>
      <c r="Q47" s="122" t="s">
        <v>208</v>
      </c>
      <c r="R47" s="129">
        <v>0</v>
      </c>
    </row>
    <row r="48" spans="1:18" s="122" customFormat="1" x14ac:dyDescent="0.2">
      <c r="A48" s="122" t="s">
        <v>423</v>
      </c>
      <c r="B48" s="123" t="s">
        <v>416</v>
      </c>
      <c r="C48" s="122">
        <v>306555863</v>
      </c>
      <c r="D48" s="124">
        <v>45940</v>
      </c>
      <c r="E48" s="124">
        <v>45177</v>
      </c>
      <c r="F48" s="115">
        <v>34398.652757341573</v>
      </c>
      <c r="G48" s="115">
        <v>3.2759999999999998</v>
      </c>
      <c r="H48" s="125">
        <v>112689.98643305099</v>
      </c>
      <c r="I48" s="126">
        <v>0.62170000000000003</v>
      </c>
      <c r="J48" s="127">
        <v>0.3</v>
      </c>
      <c r="K48" s="125">
        <v>52150.843548175784</v>
      </c>
      <c r="L48" s="128">
        <f t="shared" si="2"/>
        <v>32422.179433900888</v>
      </c>
      <c r="M48" s="125">
        <v>60539.142884875211</v>
      </c>
      <c r="N48" s="128">
        <f t="shared" si="3"/>
        <v>18161.742865462562</v>
      </c>
      <c r="O48" s="125">
        <v>50583.922299363447</v>
      </c>
      <c r="P48" s="128" t="s">
        <v>424</v>
      </c>
      <c r="Q48" s="122" t="s">
        <v>208</v>
      </c>
      <c r="R48" s="129">
        <v>0</v>
      </c>
    </row>
    <row r="49" spans="1:18" s="122" customFormat="1" x14ac:dyDescent="0.2">
      <c r="A49" s="122" t="s">
        <v>423</v>
      </c>
      <c r="B49" s="123" t="s">
        <v>416</v>
      </c>
      <c r="C49" s="122">
        <v>306555863</v>
      </c>
      <c r="D49" s="124">
        <v>45940</v>
      </c>
      <c r="E49" s="124">
        <v>45177</v>
      </c>
      <c r="F49" s="115">
        <v>34398.652757341573</v>
      </c>
      <c r="G49" s="115">
        <v>3.2759999999999998</v>
      </c>
      <c r="H49" s="125">
        <v>112689.98643305099</v>
      </c>
      <c r="I49" s="126">
        <v>0.62170000000000003</v>
      </c>
      <c r="J49" s="127">
        <v>0.3</v>
      </c>
      <c r="K49" s="125">
        <v>52150.843548175784</v>
      </c>
      <c r="L49" s="128">
        <f t="shared" si="2"/>
        <v>32422.179433900888</v>
      </c>
      <c r="M49" s="125">
        <v>60539.142884875211</v>
      </c>
      <c r="N49" s="128">
        <f t="shared" si="3"/>
        <v>18161.742865462562</v>
      </c>
      <c r="O49" s="125">
        <v>50583.922299363447</v>
      </c>
      <c r="P49" s="128" t="s">
        <v>424</v>
      </c>
      <c r="Q49" s="122" t="s">
        <v>208</v>
      </c>
      <c r="R49" s="129">
        <v>0</v>
      </c>
    </row>
    <row r="50" spans="1:18" s="122" customFormat="1" x14ac:dyDescent="0.2">
      <c r="A50" s="122" t="s">
        <v>423</v>
      </c>
      <c r="B50" s="123" t="s">
        <v>416</v>
      </c>
      <c r="C50" s="122">
        <v>306555863</v>
      </c>
      <c r="D50" s="124">
        <v>45953</v>
      </c>
      <c r="E50" s="124">
        <v>45177</v>
      </c>
      <c r="F50" s="115">
        <v>34388.72310566037</v>
      </c>
      <c r="G50" s="115">
        <v>3.2347999999999999</v>
      </c>
      <c r="H50" s="125">
        <v>111240.64150219016</v>
      </c>
      <c r="I50" s="126">
        <v>0.62170000000000003</v>
      </c>
      <c r="J50" s="127">
        <v>0.3</v>
      </c>
      <c r="K50" s="125">
        <v>51497.793641337208</v>
      </c>
      <c r="L50" s="128">
        <f t="shared" si="2"/>
        <v>32016.178306819344</v>
      </c>
      <c r="M50" s="125">
        <v>59742.847860852962</v>
      </c>
      <c r="N50" s="128">
        <f t="shared" si="3"/>
        <v>17922.854358255889</v>
      </c>
      <c r="O50" s="125">
        <v>49939.032665075232</v>
      </c>
      <c r="P50" s="128" t="s">
        <v>424</v>
      </c>
      <c r="Q50" s="122" t="s">
        <v>208</v>
      </c>
      <c r="R50" s="129">
        <v>0</v>
      </c>
    </row>
    <row r="51" spans="1:18" s="122" customFormat="1" x14ac:dyDescent="0.2">
      <c r="A51" s="122" t="s">
        <v>423</v>
      </c>
      <c r="B51" s="123" t="s">
        <v>416</v>
      </c>
      <c r="C51" s="122">
        <v>306555863</v>
      </c>
      <c r="D51" s="124">
        <v>45953</v>
      </c>
      <c r="E51" s="124">
        <v>45177</v>
      </c>
      <c r="F51" s="115">
        <v>34707.137208490567</v>
      </c>
      <c r="G51" s="115">
        <v>3.2347999999999999</v>
      </c>
      <c r="H51" s="125">
        <v>112270.64744202528</v>
      </c>
      <c r="I51" s="126">
        <v>0.62170000000000003</v>
      </c>
      <c r="J51" s="127">
        <v>0.3</v>
      </c>
      <c r="K51" s="125">
        <v>51974.625063942185</v>
      </c>
      <c r="L51" s="128">
        <f t="shared" si="2"/>
        <v>32312.624402252859</v>
      </c>
      <c r="M51" s="125">
        <v>60296.022378083093</v>
      </c>
      <c r="N51" s="128">
        <f t="shared" si="3"/>
        <v>18088.806713424929</v>
      </c>
      <c r="O51" s="125">
        <v>50401.431115677784</v>
      </c>
      <c r="P51" s="128" t="s">
        <v>424</v>
      </c>
      <c r="Q51" s="122" t="s">
        <v>208</v>
      </c>
      <c r="R51" s="129">
        <v>0</v>
      </c>
    </row>
    <row r="52" spans="1:18" s="122" customFormat="1" x14ac:dyDescent="0.2">
      <c r="A52" s="122" t="s">
        <v>423</v>
      </c>
      <c r="B52" s="123" t="s">
        <v>416</v>
      </c>
      <c r="C52" s="122">
        <v>306555863</v>
      </c>
      <c r="D52" s="124">
        <v>45953</v>
      </c>
      <c r="E52" s="124">
        <v>45177</v>
      </c>
      <c r="F52" s="115">
        <v>34388.72310566037</v>
      </c>
      <c r="G52" s="115">
        <v>3.2347999999999999</v>
      </c>
      <c r="H52" s="125">
        <v>111240.64150219016</v>
      </c>
      <c r="I52" s="126">
        <v>0.62170000000000003</v>
      </c>
      <c r="J52" s="127">
        <v>0.3</v>
      </c>
      <c r="K52" s="125">
        <v>51497.793641337208</v>
      </c>
      <c r="L52" s="128">
        <f t="shared" si="2"/>
        <v>32016.178306819344</v>
      </c>
      <c r="M52" s="125">
        <v>59742.847860852962</v>
      </c>
      <c r="N52" s="128">
        <f t="shared" si="3"/>
        <v>17922.854358255889</v>
      </c>
      <c r="O52" s="125">
        <v>49939.032665075232</v>
      </c>
      <c r="P52" s="128" t="s">
        <v>424</v>
      </c>
      <c r="Q52" s="122" t="s">
        <v>208</v>
      </c>
      <c r="R52" s="129">
        <v>0</v>
      </c>
    </row>
    <row r="53" spans="1:18" s="122" customFormat="1" x14ac:dyDescent="0.2">
      <c r="A53" s="122" t="s">
        <v>423</v>
      </c>
      <c r="B53" s="123" t="s">
        <v>416</v>
      </c>
      <c r="C53" s="122">
        <v>306555863</v>
      </c>
      <c r="D53" s="124">
        <v>45953</v>
      </c>
      <c r="E53" s="124">
        <v>45177</v>
      </c>
      <c r="F53" s="115">
        <v>34388.72310566037</v>
      </c>
      <c r="G53" s="115">
        <v>3.2347999999999999</v>
      </c>
      <c r="H53" s="125">
        <v>111240.64150219016</v>
      </c>
      <c r="I53" s="126">
        <v>0.62170000000000003</v>
      </c>
      <c r="J53" s="127">
        <v>0.3</v>
      </c>
      <c r="K53" s="125">
        <v>51497.793641337208</v>
      </c>
      <c r="L53" s="128">
        <f t="shared" si="2"/>
        <v>32016.178306819344</v>
      </c>
      <c r="M53" s="125">
        <v>59742.847860852962</v>
      </c>
      <c r="N53" s="128">
        <f t="shared" si="3"/>
        <v>17922.854358255889</v>
      </c>
      <c r="O53" s="125">
        <v>49939.032665075232</v>
      </c>
      <c r="P53" s="128" t="s">
        <v>424</v>
      </c>
      <c r="Q53" s="122" t="s">
        <v>208</v>
      </c>
      <c r="R53" s="129">
        <v>0</v>
      </c>
    </row>
    <row r="54" spans="1:18" s="122" customFormat="1" x14ac:dyDescent="0.2">
      <c r="A54" s="122" t="s">
        <v>423</v>
      </c>
      <c r="B54" s="123" t="s">
        <v>416</v>
      </c>
      <c r="C54" s="122">
        <v>306555863</v>
      </c>
      <c r="D54" s="124">
        <v>45953</v>
      </c>
      <c r="E54" s="124">
        <v>45177</v>
      </c>
      <c r="F54" s="115">
        <v>34388.72310566037</v>
      </c>
      <c r="G54" s="115">
        <v>3.2347999999999999</v>
      </c>
      <c r="H54" s="125">
        <v>111240.64150219016</v>
      </c>
      <c r="I54" s="126">
        <v>0.62170000000000003</v>
      </c>
      <c r="J54" s="127">
        <v>0.3</v>
      </c>
      <c r="K54" s="125">
        <v>51497.793641337208</v>
      </c>
      <c r="L54" s="128">
        <f t="shared" si="2"/>
        <v>32016.178306819344</v>
      </c>
      <c r="M54" s="125">
        <v>59742.847860852962</v>
      </c>
      <c r="N54" s="128">
        <f t="shared" si="3"/>
        <v>17922.854358255889</v>
      </c>
      <c r="O54" s="125">
        <v>49939.032665075232</v>
      </c>
      <c r="P54" s="128" t="s">
        <v>424</v>
      </c>
      <c r="Q54" s="122" t="s">
        <v>208</v>
      </c>
      <c r="R54" s="129">
        <v>0</v>
      </c>
    </row>
    <row r="55" spans="1:18" s="122" customFormat="1" x14ac:dyDescent="0.2">
      <c r="A55" s="122" t="s">
        <v>423</v>
      </c>
      <c r="B55" s="123" t="s">
        <v>416</v>
      </c>
      <c r="C55" s="122">
        <v>306555863</v>
      </c>
      <c r="D55" s="124">
        <v>45954</v>
      </c>
      <c r="E55" s="124">
        <v>44985</v>
      </c>
      <c r="F55" s="115">
        <v>324410.04039665975</v>
      </c>
      <c r="G55" s="115">
        <v>3.2262</v>
      </c>
      <c r="H55" s="125">
        <v>1046611.6723277037</v>
      </c>
      <c r="I55" s="126">
        <v>0.62170000000000003</v>
      </c>
      <c r="J55" s="127">
        <v>0.3</v>
      </c>
      <c r="K55" s="125">
        <v>412553.68518406362</v>
      </c>
      <c r="L55" s="128">
        <f t="shared" si="2"/>
        <v>256484.62607893237</v>
      </c>
      <c r="M55" s="125">
        <v>634057.98714364006</v>
      </c>
      <c r="N55" s="128">
        <f t="shared" si="3"/>
        <v>190217.39614309202</v>
      </c>
      <c r="O55" s="125">
        <v>446702.02222202439</v>
      </c>
      <c r="P55" s="128" t="s">
        <v>424</v>
      </c>
      <c r="Q55" s="122" t="s">
        <v>208</v>
      </c>
      <c r="R55" s="129">
        <v>0</v>
      </c>
    </row>
    <row r="56" spans="1:18" s="122" customFormat="1" x14ac:dyDescent="0.2">
      <c r="A56" s="122" t="s">
        <v>423</v>
      </c>
      <c r="B56" s="123" t="s">
        <v>416</v>
      </c>
      <c r="C56" s="122">
        <v>306555863</v>
      </c>
      <c r="D56" s="124">
        <v>45961</v>
      </c>
      <c r="E56" s="124">
        <v>44985</v>
      </c>
      <c r="F56" s="115">
        <v>173789.71206658403</v>
      </c>
      <c r="G56" s="115">
        <v>3.2515999999999998</v>
      </c>
      <c r="H56" s="125">
        <v>565094.62775570457</v>
      </c>
      <c r="I56" s="126">
        <v>0.62170000000000003</v>
      </c>
      <c r="J56" s="127">
        <v>0.3</v>
      </c>
      <c r="K56" s="125">
        <v>218692.30407969176</v>
      </c>
      <c r="L56" s="128">
        <f t="shared" si="2"/>
        <v>135961.00544634438</v>
      </c>
      <c r="M56" s="125">
        <v>346402.32367601286</v>
      </c>
      <c r="N56" s="128">
        <f t="shared" si="3"/>
        <v>103920.69710280385</v>
      </c>
      <c r="O56" s="125">
        <v>239881.70254914823</v>
      </c>
      <c r="P56" s="128" t="s">
        <v>424</v>
      </c>
      <c r="Q56" s="122" t="s">
        <v>208</v>
      </c>
      <c r="R56" s="129">
        <v>0</v>
      </c>
    </row>
    <row r="57" spans="1:18" s="122" customFormat="1" x14ac:dyDescent="0.2">
      <c r="A57" s="122" t="s">
        <v>425</v>
      </c>
      <c r="B57" s="123" t="s">
        <v>416</v>
      </c>
      <c r="C57" s="122">
        <v>300885258</v>
      </c>
      <c r="D57" s="124">
        <v>45960</v>
      </c>
      <c r="E57" s="124">
        <v>44545</v>
      </c>
      <c r="F57" s="115">
        <v>13364.799696640315</v>
      </c>
      <c r="G57" s="115">
        <v>3.2347999999999999</v>
      </c>
      <c r="H57" s="125">
        <v>43232.454058692092</v>
      </c>
      <c r="I57" s="126">
        <v>0.62170000000000003</v>
      </c>
      <c r="J57" s="127">
        <v>0.3</v>
      </c>
      <c r="K57" s="125">
        <v>0</v>
      </c>
      <c r="L57" s="128">
        <f t="shared" si="2"/>
        <v>0</v>
      </c>
      <c r="M57" s="125">
        <v>43232.454058692092</v>
      </c>
      <c r="N57" s="128">
        <f t="shared" si="3"/>
        <v>12969.736217607628</v>
      </c>
      <c r="O57" s="125">
        <v>12969.736217607626</v>
      </c>
      <c r="P57" s="128" t="s">
        <v>424</v>
      </c>
      <c r="Q57" s="122" t="s">
        <v>206</v>
      </c>
      <c r="R57" s="129">
        <v>0</v>
      </c>
    </row>
    <row r="58" spans="1:18" s="122" customFormat="1" x14ac:dyDescent="0.2">
      <c r="A58" s="122" t="s">
        <v>425</v>
      </c>
      <c r="B58" s="123" t="s">
        <v>416</v>
      </c>
      <c r="C58" s="122">
        <v>300885258</v>
      </c>
      <c r="D58" s="124">
        <v>45960</v>
      </c>
      <c r="E58" s="124">
        <v>44545</v>
      </c>
      <c r="F58" s="115">
        <v>13690.770420948616</v>
      </c>
      <c r="G58" s="115">
        <v>3.2347999999999999</v>
      </c>
      <c r="H58" s="125">
        <v>44286.904157684585</v>
      </c>
      <c r="I58" s="126">
        <v>0.62170000000000003</v>
      </c>
      <c r="J58" s="127">
        <v>0.3</v>
      </c>
      <c r="K58" s="125">
        <v>0</v>
      </c>
      <c r="L58" s="128">
        <f t="shared" si="2"/>
        <v>0</v>
      </c>
      <c r="M58" s="125">
        <v>44286.904157684585</v>
      </c>
      <c r="N58" s="128">
        <f t="shared" si="3"/>
        <v>13286.071247305375</v>
      </c>
      <c r="O58" s="125">
        <v>13286.071247305375</v>
      </c>
      <c r="P58" s="128" t="s">
        <v>424</v>
      </c>
      <c r="Q58" s="122" t="s">
        <v>206</v>
      </c>
      <c r="R58" s="129">
        <v>0</v>
      </c>
    </row>
    <row r="59" spans="1:18" s="122" customFormat="1" x14ac:dyDescent="0.2">
      <c r="A59" s="122" t="s">
        <v>425</v>
      </c>
      <c r="B59" s="123" t="s">
        <v>416</v>
      </c>
      <c r="C59" s="122">
        <v>300885258</v>
      </c>
      <c r="D59" s="124">
        <v>45960</v>
      </c>
      <c r="E59" s="124">
        <v>44545</v>
      </c>
      <c r="F59" s="115">
        <v>5541.502313241107</v>
      </c>
      <c r="G59" s="115">
        <v>3.2347999999999999</v>
      </c>
      <c r="H59" s="125">
        <v>17925.651682872332</v>
      </c>
      <c r="I59" s="126">
        <v>0.62170000000000003</v>
      </c>
      <c r="J59" s="127">
        <v>0.3</v>
      </c>
      <c r="K59" s="125">
        <v>0</v>
      </c>
      <c r="L59" s="128">
        <f t="shared" si="2"/>
        <v>0</v>
      </c>
      <c r="M59" s="125">
        <v>17925.651682872332</v>
      </c>
      <c r="N59" s="128">
        <f t="shared" si="3"/>
        <v>5377.6955048616992</v>
      </c>
      <c r="O59" s="125">
        <v>5377.6955048617001</v>
      </c>
      <c r="P59" s="128" t="s">
        <v>424</v>
      </c>
      <c r="Q59" s="122" t="s">
        <v>206</v>
      </c>
      <c r="R59" s="129">
        <v>0</v>
      </c>
    </row>
    <row r="60" spans="1:18" s="122" customFormat="1" x14ac:dyDescent="0.2">
      <c r="A60" s="122" t="s">
        <v>426</v>
      </c>
      <c r="B60" s="123" t="s">
        <v>416</v>
      </c>
      <c r="C60" s="122">
        <v>25197153</v>
      </c>
      <c r="D60" s="124">
        <v>45961</v>
      </c>
      <c r="E60" s="124">
        <v>45177</v>
      </c>
      <c r="F60" s="115">
        <v>8567.0010956866627</v>
      </c>
      <c r="G60" s="115">
        <v>3.2515999999999998</v>
      </c>
      <c r="H60" s="125">
        <v>27856.46076273475</v>
      </c>
      <c r="I60" s="126">
        <v>0.62170000000000003</v>
      </c>
      <c r="J60" s="127">
        <v>0.3</v>
      </c>
      <c r="K60" s="125">
        <v>12460.81555217771</v>
      </c>
      <c r="L60" s="128">
        <f t="shared" si="2"/>
        <v>7746.8890287888826</v>
      </c>
      <c r="M60" s="125">
        <v>15395.645210557041</v>
      </c>
      <c r="N60" s="128">
        <f t="shared" si="3"/>
        <v>4618.6935631671122</v>
      </c>
      <c r="O60" s="125">
        <v>12365.582591955996</v>
      </c>
      <c r="P60" s="128" t="s">
        <v>414</v>
      </c>
      <c r="Q60" s="122" t="s">
        <v>136</v>
      </c>
      <c r="R60" s="129">
        <v>0</v>
      </c>
    </row>
    <row r="61" spans="1:18" s="122" customFormat="1" x14ac:dyDescent="0.2">
      <c r="A61" s="122" t="s">
        <v>426</v>
      </c>
      <c r="B61" s="123" t="s">
        <v>416</v>
      </c>
      <c r="C61" s="122">
        <v>25197153</v>
      </c>
      <c r="D61" s="124">
        <v>45961</v>
      </c>
      <c r="E61" s="124">
        <v>45177</v>
      </c>
      <c r="F61" s="115">
        <v>8567.0010956866627</v>
      </c>
      <c r="G61" s="115">
        <v>3.2515999999999998</v>
      </c>
      <c r="H61" s="125">
        <v>27856.46076273475</v>
      </c>
      <c r="I61" s="126">
        <v>0.62170000000000003</v>
      </c>
      <c r="J61" s="127">
        <v>0.3</v>
      </c>
      <c r="K61" s="125">
        <v>12460.81555217771</v>
      </c>
      <c r="L61" s="128">
        <f t="shared" si="2"/>
        <v>7746.8890287888826</v>
      </c>
      <c r="M61" s="125">
        <v>15395.645210557041</v>
      </c>
      <c r="N61" s="128">
        <f t="shared" si="3"/>
        <v>4618.6935631671122</v>
      </c>
      <c r="O61" s="125">
        <v>12365.582591955996</v>
      </c>
      <c r="P61" s="128" t="s">
        <v>414</v>
      </c>
      <c r="Q61" s="122" t="s">
        <v>136</v>
      </c>
      <c r="R61" s="129">
        <v>0</v>
      </c>
    </row>
    <row r="62" spans="1:18" s="122" customFormat="1" x14ac:dyDescent="0.2">
      <c r="A62" s="122" t="s">
        <v>426</v>
      </c>
      <c r="B62" s="123" t="s">
        <v>416</v>
      </c>
      <c r="C62" s="122">
        <v>25197153</v>
      </c>
      <c r="D62" s="124">
        <v>45961</v>
      </c>
      <c r="E62" s="124">
        <v>44844</v>
      </c>
      <c r="F62" s="115">
        <v>24383.003118492808</v>
      </c>
      <c r="G62" s="115">
        <v>3.2515999999999998</v>
      </c>
      <c r="H62" s="125">
        <v>79283.772940091207</v>
      </c>
      <c r="I62" s="126">
        <v>0.62170000000000003</v>
      </c>
      <c r="J62" s="127">
        <v>0.3</v>
      </c>
      <c r="K62" s="125">
        <v>40069.871587867092</v>
      </c>
      <c r="L62" s="128">
        <f t="shared" si="2"/>
        <v>24911.439166176973</v>
      </c>
      <c r="M62" s="125">
        <v>39213.901352224115</v>
      </c>
      <c r="N62" s="128">
        <f t="shared" si="3"/>
        <v>11764.170405667233</v>
      </c>
      <c r="O62" s="125">
        <v>36675.609571844208</v>
      </c>
      <c r="P62" s="128" t="s">
        <v>414</v>
      </c>
      <c r="Q62" s="122" t="s">
        <v>136</v>
      </c>
      <c r="R62" s="129">
        <v>0</v>
      </c>
    </row>
    <row r="63" spans="1:18" s="122" customFormat="1" x14ac:dyDescent="0.2">
      <c r="A63" s="122" t="s">
        <v>426</v>
      </c>
      <c r="B63" s="123" t="s">
        <v>416</v>
      </c>
      <c r="C63" s="122">
        <v>25197153</v>
      </c>
      <c r="D63" s="124">
        <v>45961</v>
      </c>
      <c r="E63" s="124">
        <v>45177</v>
      </c>
      <c r="F63" s="115">
        <v>8567.0010956866627</v>
      </c>
      <c r="G63" s="115">
        <v>3.2515999999999998</v>
      </c>
      <c r="H63" s="125">
        <v>27856.46076273475</v>
      </c>
      <c r="I63" s="126">
        <v>0.62170000000000003</v>
      </c>
      <c r="J63" s="127">
        <v>0.3</v>
      </c>
      <c r="K63" s="125">
        <v>12460.81555217771</v>
      </c>
      <c r="L63" s="128">
        <f t="shared" si="2"/>
        <v>7746.8890287888826</v>
      </c>
      <c r="M63" s="125">
        <v>15395.645210557041</v>
      </c>
      <c r="N63" s="128">
        <f t="shared" si="3"/>
        <v>4618.6935631671122</v>
      </c>
      <c r="O63" s="125">
        <v>12365.582591955996</v>
      </c>
      <c r="P63" s="128" t="s">
        <v>414</v>
      </c>
      <c r="Q63" s="122" t="s">
        <v>136</v>
      </c>
      <c r="R63" s="129">
        <v>0</v>
      </c>
    </row>
    <row r="64" spans="1:18" s="122" customFormat="1" x14ac:dyDescent="0.2">
      <c r="A64" s="122" t="s">
        <v>426</v>
      </c>
      <c r="B64" s="123" t="s">
        <v>416</v>
      </c>
      <c r="C64" s="122">
        <v>25197153</v>
      </c>
      <c r="D64" s="124">
        <v>45961</v>
      </c>
      <c r="E64" s="124">
        <v>45177</v>
      </c>
      <c r="F64" s="115">
        <v>8567.0010956866627</v>
      </c>
      <c r="G64" s="115">
        <v>3.2515999999999998</v>
      </c>
      <c r="H64" s="125">
        <v>27856.46076273475</v>
      </c>
      <c r="I64" s="126">
        <v>0.62170000000000003</v>
      </c>
      <c r="J64" s="127">
        <v>0.3</v>
      </c>
      <c r="K64" s="125">
        <v>12460.81555217771</v>
      </c>
      <c r="L64" s="128">
        <f t="shared" si="2"/>
        <v>7746.8890287888826</v>
      </c>
      <c r="M64" s="125">
        <v>15395.645210557041</v>
      </c>
      <c r="N64" s="128">
        <f t="shared" si="3"/>
        <v>4618.6935631671122</v>
      </c>
      <c r="O64" s="125">
        <v>12365.582591955996</v>
      </c>
      <c r="P64" s="128" t="s">
        <v>414</v>
      </c>
      <c r="Q64" s="122" t="s">
        <v>136</v>
      </c>
      <c r="R64" s="129">
        <v>0</v>
      </c>
    </row>
    <row r="65" spans="1:18" s="122" customFormat="1" x14ac:dyDescent="0.2">
      <c r="A65" s="122" t="s">
        <v>426</v>
      </c>
      <c r="B65" s="123" t="s">
        <v>416</v>
      </c>
      <c r="C65" s="122">
        <v>25197153</v>
      </c>
      <c r="D65" s="124">
        <v>45961</v>
      </c>
      <c r="E65" s="124">
        <v>45043</v>
      </c>
      <c r="F65" s="115">
        <v>5272.0006742687156</v>
      </c>
      <c r="G65" s="115">
        <v>3.2515999999999998</v>
      </c>
      <c r="H65" s="125">
        <v>17142.437392452153</v>
      </c>
      <c r="I65" s="126">
        <v>0.62170000000000003</v>
      </c>
      <c r="J65" s="127">
        <v>0.3</v>
      </c>
      <c r="K65" s="125">
        <v>5511.9757515060237</v>
      </c>
      <c r="L65" s="128">
        <f t="shared" si="2"/>
        <v>3426.7953247112951</v>
      </c>
      <c r="M65" s="125">
        <v>11630.461640946131</v>
      </c>
      <c r="N65" s="128">
        <f t="shared" si="3"/>
        <v>3489.1384922838392</v>
      </c>
      <c r="O65" s="125">
        <v>6915.9338169951352</v>
      </c>
      <c r="P65" s="128" t="s">
        <v>414</v>
      </c>
      <c r="Q65" s="122" t="s">
        <v>136</v>
      </c>
      <c r="R65" s="129">
        <v>0</v>
      </c>
    </row>
    <row r="66" spans="1:18" s="122" customFormat="1" x14ac:dyDescent="0.2">
      <c r="A66" s="122" t="s">
        <v>426</v>
      </c>
      <c r="B66" s="123" t="s">
        <v>416</v>
      </c>
      <c r="C66" s="122">
        <v>25197153</v>
      </c>
      <c r="D66" s="124">
        <v>45961</v>
      </c>
      <c r="E66" s="124">
        <v>45177</v>
      </c>
      <c r="F66" s="115">
        <v>8567.0010956866627</v>
      </c>
      <c r="G66" s="115">
        <v>3.2515999999999998</v>
      </c>
      <c r="H66" s="125">
        <v>27856.46076273475</v>
      </c>
      <c r="I66" s="126">
        <v>0.62170000000000003</v>
      </c>
      <c r="J66" s="127">
        <v>0.3</v>
      </c>
      <c r="K66" s="125">
        <v>12460.81555217771</v>
      </c>
      <c r="L66" s="128">
        <f t="shared" ref="L66:L97" si="4">I66*K66</f>
        <v>7746.8890287888826</v>
      </c>
      <c r="M66" s="125">
        <v>15395.645210557041</v>
      </c>
      <c r="N66" s="128">
        <f t="shared" ref="N66:N97" si="5">M66*J66</f>
        <v>4618.6935631671122</v>
      </c>
      <c r="O66" s="125">
        <v>12365.582591955996</v>
      </c>
      <c r="P66" s="128" t="s">
        <v>414</v>
      </c>
      <c r="Q66" s="122" t="s">
        <v>136</v>
      </c>
      <c r="R66" s="129">
        <v>0</v>
      </c>
    </row>
    <row r="67" spans="1:18" s="122" customFormat="1" x14ac:dyDescent="0.2">
      <c r="A67" s="122" t="s">
        <v>426</v>
      </c>
      <c r="B67" s="123" t="s">
        <v>416</v>
      </c>
      <c r="C67" s="122">
        <v>25197153</v>
      </c>
      <c r="D67" s="124">
        <v>45961</v>
      </c>
      <c r="E67" s="124">
        <v>45177</v>
      </c>
      <c r="F67" s="115">
        <v>8567.0010956866627</v>
      </c>
      <c r="G67" s="115">
        <v>3.2515999999999998</v>
      </c>
      <c r="H67" s="125">
        <v>27856.46076273475</v>
      </c>
      <c r="I67" s="126">
        <v>0.62170000000000003</v>
      </c>
      <c r="J67" s="127">
        <v>0.3</v>
      </c>
      <c r="K67" s="125">
        <v>12460.81555217771</v>
      </c>
      <c r="L67" s="128">
        <f t="shared" si="4"/>
        <v>7746.8890287888826</v>
      </c>
      <c r="M67" s="125">
        <v>15395.645210557041</v>
      </c>
      <c r="N67" s="128">
        <f t="shared" si="5"/>
        <v>4618.6935631671122</v>
      </c>
      <c r="O67" s="125">
        <v>12365.582591955996</v>
      </c>
      <c r="P67" s="128" t="s">
        <v>414</v>
      </c>
      <c r="Q67" s="122" t="s">
        <v>136</v>
      </c>
      <c r="R67" s="129">
        <v>0</v>
      </c>
    </row>
    <row r="68" spans="1:18" s="122" customFormat="1" x14ac:dyDescent="0.2">
      <c r="A68" s="122" t="s">
        <v>426</v>
      </c>
      <c r="B68" s="123" t="s">
        <v>416</v>
      </c>
      <c r="C68" s="122">
        <v>25197153</v>
      </c>
      <c r="D68" s="124">
        <v>45961</v>
      </c>
      <c r="E68" s="124">
        <v>45043</v>
      </c>
      <c r="F68" s="115">
        <v>4942.5006321269211</v>
      </c>
      <c r="G68" s="115">
        <v>3.2515999999999998</v>
      </c>
      <c r="H68" s="125">
        <v>16071.035055423896</v>
      </c>
      <c r="I68" s="126">
        <v>0.62170000000000003</v>
      </c>
      <c r="J68" s="127">
        <v>0.3</v>
      </c>
      <c r="K68" s="125">
        <v>5167.4772670368975</v>
      </c>
      <c r="L68" s="128">
        <f t="shared" si="4"/>
        <v>3212.6206169168395</v>
      </c>
      <c r="M68" s="125">
        <v>10903.557788386999</v>
      </c>
      <c r="N68" s="128">
        <f t="shared" si="5"/>
        <v>3271.0673365160997</v>
      </c>
      <c r="O68" s="125">
        <v>6483.6879534329391</v>
      </c>
      <c r="P68" s="128" t="s">
        <v>414</v>
      </c>
      <c r="Q68" s="122" t="s">
        <v>136</v>
      </c>
      <c r="R68" s="129">
        <v>0</v>
      </c>
    </row>
    <row r="69" spans="1:18" s="122" customFormat="1" x14ac:dyDescent="0.2">
      <c r="A69" s="122" t="s">
        <v>426</v>
      </c>
      <c r="B69" s="123" t="s">
        <v>416</v>
      </c>
      <c r="C69" s="122">
        <v>25197153</v>
      </c>
      <c r="D69" s="124">
        <v>45961</v>
      </c>
      <c r="E69" s="124">
        <v>45177</v>
      </c>
      <c r="F69" s="115">
        <v>8567.0010956866627</v>
      </c>
      <c r="G69" s="115">
        <v>3.2515999999999998</v>
      </c>
      <c r="H69" s="125">
        <v>27856.46076273475</v>
      </c>
      <c r="I69" s="126">
        <v>0.62170000000000003</v>
      </c>
      <c r="J69" s="127">
        <v>0.3</v>
      </c>
      <c r="K69" s="125">
        <v>12460.81555217771</v>
      </c>
      <c r="L69" s="128">
        <f t="shared" si="4"/>
        <v>7746.8890287888826</v>
      </c>
      <c r="M69" s="125">
        <v>15395.645210557041</v>
      </c>
      <c r="N69" s="128">
        <f t="shared" si="5"/>
        <v>4618.6935631671122</v>
      </c>
      <c r="O69" s="125">
        <v>12365.582591955996</v>
      </c>
      <c r="P69" s="128" t="s">
        <v>414</v>
      </c>
      <c r="Q69" s="122" t="s">
        <v>136</v>
      </c>
      <c r="R69" s="129">
        <v>0</v>
      </c>
    </row>
    <row r="70" spans="1:18" s="122" customFormat="1" x14ac:dyDescent="0.2">
      <c r="A70" s="122" t="s">
        <v>426</v>
      </c>
      <c r="B70" s="123" t="s">
        <v>416</v>
      </c>
      <c r="C70" s="122">
        <v>25197153</v>
      </c>
      <c r="D70" s="124">
        <v>45961</v>
      </c>
      <c r="E70" s="124">
        <v>45177</v>
      </c>
      <c r="F70" s="115">
        <v>8567.0010956866627</v>
      </c>
      <c r="G70" s="115">
        <v>3.2515999999999998</v>
      </c>
      <c r="H70" s="125">
        <v>27856.46076273475</v>
      </c>
      <c r="I70" s="126">
        <v>0.62170000000000003</v>
      </c>
      <c r="J70" s="127">
        <v>0.3</v>
      </c>
      <c r="K70" s="125">
        <v>12460.81555217771</v>
      </c>
      <c r="L70" s="128">
        <f t="shared" si="4"/>
        <v>7746.8890287888826</v>
      </c>
      <c r="M70" s="125">
        <v>15395.645210557041</v>
      </c>
      <c r="N70" s="128">
        <f t="shared" si="5"/>
        <v>4618.6935631671122</v>
      </c>
      <c r="O70" s="125">
        <v>12365.582591955996</v>
      </c>
      <c r="P70" s="128" t="s">
        <v>414</v>
      </c>
      <c r="Q70" s="122" t="s">
        <v>136</v>
      </c>
      <c r="R70" s="129">
        <v>0</v>
      </c>
    </row>
    <row r="71" spans="1:18" s="122" customFormat="1" x14ac:dyDescent="0.2">
      <c r="A71" s="122" t="s">
        <v>427</v>
      </c>
      <c r="B71" s="123" t="s">
        <v>416</v>
      </c>
      <c r="C71" s="122">
        <v>304603590</v>
      </c>
      <c r="D71" s="124">
        <v>45950</v>
      </c>
      <c r="E71" s="124">
        <v>44816</v>
      </c>
      <c r="F71" s="115">
        <v>30694.781878099326</v>
      </c>
      <c r="G71" s="115">
        <v>3.2747999999999999</v>
      </c>
      <c r="H71" s="125">
        <v>100519.27169439966</v>
      </c>
      <c r="I71" s="126">
        <v>0.62170000000000003</v>
      </c>
      <c r="J71" s="127">
        <v>0.3</v>
      </c>
      <c r="K71" s="125">
        <v>54233.66591558091</v>
      </c>
      <c r="L71" s="128">
        <f t="shared" si="4"/>
        <v>33717.070099716657</v>
      </c>
      <c r="M71" s="125">
        <v>46285.605778818761</v>
      </c>
      <c r="N71" s="128">
        <f t="shared" si="5"/>
        <v>13885.681733645628</v>
      </c>
      <c r="O71" s="125">
        <v>47602.751833362279</v>
      </c>
      <c r="P71" s="128" t="s">
        <v>414</v>
      </c>
      <c r="Q71" s="122" t="s">
        <v>129</v>
      </c>
      <c r="R71" s="129">
        <v>0</v>
      </c>
    </row>
    <row r="72" spans="1:18" s="122" customFormat="1" x14ac:dyDescent="0.2">
      <c r="A72" s="122" t="s">
        <v>427</v>
      </c>
      <c r="B72" s="123" t="s">
        <v>416</v>
      </c>
      <c r="C72" s="122">
        <v>304603590</v>
      </c>
      <c r="D72" s="124">
        <v>45950</v>
      </c>
      <c r="E72" s="124">
        <v>44816</v>
      </c>
      <c r="F72" s="115">
        <v>30694.781878099326</v>
      </c>
      <c r="G72" s="115">
        <v>3.2747999999999999</v>
      </c>
      <c r="H72" s="125">
        <v>100519.27169439966</v>
      </c>
      <c r="I72" s="126">
        <v>0.62170000000000003</v>
      </c>
      <c r="J72" s="127">
        <v>0.3</v>
      </c>
      <c r="K72" s="125">
        <v>54233.66591558091</v>
      </c>
      <c r="L72" s="128">
        <f t="shared" si="4"/>
        <v>33717.070099716657</v>
      </c>
      <c r="M72" s="125">
        <v>46285.605778818761</v>
      </c>
      <c r="N72" s="128">
        <f t="shared" si="5"/>
        <v>13885.681733645628</v>
      </c>
      <c r="O72" s="125">
        <v>47602.751833362279</v>
      </c>
      <c r="P72" s="128" t="s">
        <v>414</v>
      </c>
      <c r="Q72" s="122" t="s">
        <v>129</v>
      </c>
      <c r="R72" s="129">
        <v>0</v>
      </c>
    </row>
    <row r="73" spans="1:18" s="122" customFormat="1" x14ac:dyDescent="0.2">
      <c r="A73" s="122" t="s">
        <v>427</v>
      </c>
      <c r="B73" s="123" t="s">
        <v>416</v>
      </c>
      <c r="C73" s="122">
        <v>304603590</v>
      </c>
      <c r="D73" s="124">
        <v>45960</v>
      </c>
      <c r="E73" s="124">
        <v>44816</v>
      </c>
      <c r="F73" s="115">
        <v>32594.875730830041</v>
      </c>
      <c r="G73" s="115">
        <v>3.2347999999999999</v>
      </c>
      <c r="H73" s="125">
        <v>105437.90401408901</v>
      </c>
      <c r="I73" s="126">
        <v>0.62170000000000003</v>
      </c>
      <c r="J73" s="127">
        <v>0.3</v>
      </c>
      <c r="K73" s="125">
        <v>53028.213967946351</v>
      </c>
      <c r="L73" s="128">
        <f t="shared" si="4"/>
        <v>32967.640623872248</v>
      </c>
      <c r="M73" s="125">
        <v>52409.690046142663</v>
      </c>
      <c r="N73" s="128">
        <f t="shared" si="5"/>
        <v>15722.907013842798</v>
      </c>
      <c r="O73" s="125">
        <v>48690.547637715048</v>
      </c>
      <c r="P73" s="128" t="s">
        <v>414</v>
      </c>
      <c r="Q73" s="122" t="s">
        <v>129</v>
      </c>
      <c r="R73" s="129">
        <v>0</v>
      </c>
    </row>
    <row r="74" spans="1:18" s="122" customFormat="1" x14ac:dyDescent="0.2">
      <c r="A74" s="122" t="s">
        <v>428</v>
      </c>
      <c r="B74" s="123" t="s">
        <v>416</v>
      </c>
      <c r="C74" s="122">
        <v>309341808</v>
      </c>
      <c r="D74" s="124">
        <v>45933</v>
      </c>
      <c r="E74" s="124">
        <v>45043</v>
      </c>
      <c r="F74" s="115">
        <v>9535.2380913796478</v>
      </c>
      <c r="G74" s="115">
        <v>3.2722000000000002</v>
      </c>
      <c r="H74" s="125">
        <v>31201.206082612487</v>
      </c>
      <c r="I74" s="126">
        <v>0.62170000000000003</v>
      </c>
      <c r="J74" s="127">
        <v>0.3</v>
      </c>
      <c r="K74" s="125">
        <v>10748.96564602672</v>
      </c>
      <c r="L74" s="128">
        <f t="shared" si="4"/>
        <v>6682.6319421348117</v>
      </c>
      <c r="M74" s="125">
        <v>20452.240436585766</v>
      </c>
      <c r="N74" s="128">
        <f t="shared" si="5"/>
        <v>6135.6721309757295</v>
      </c>
      <c r="O74" s="125">
        <v>12818.304073110543</v>
      </c>
      <c r="P74" s="128" t="s">
        <v>414</v>
      </c>
      <c r="Q74" s="122" t="s">
        <v>117</v>
      </c>
      <c r="R74" s="129">
        <v>0</v>
      </c>
    </row>
    <row r="75" spans="1:18" s="122" customFormat="1" x14ac:dyDescent="0.2">
      <c r="A75" s="122" t="s">
        <v>428</v>
      </c>
      <c r="B75" s="123" t="s">
        <v>416</v>
      </c>
      <c r="C75" s="122">
        <v>309341808</v>
      </c>
      <c r="D75" s="124">
        <v>45933</v>
      </c>
      <c r="E75" s="124">
        <v>45177</v>
      </c>
      <c r="F75" s="115">
        <v>13226.297997720156</v>
      </c>
      <c r="G75" s="115">
        <v>3.2722000000000002</v>
      </c>
      <c r="H75" s="125">
        <v>43279.092308139894</v>
      </c>
      <c r="I75" s="126">
        <v>0.62170000000000003</v>
      </c>
      <c r="J75" s="127">
        <v>0.3</v>
      </c>
      <c r="K75" s="125">
        <v>20741.404894083153</v>
      </c>
      <c r="L75" s="128">
        <f t="shared" si="4"/>
        <v>12894.931422651496</v>
      </c>
      <c r="M75" s="125">
        <v>22537.687414056745</v>
      </c>
      <c r="N75" s="128">
        <f t="shared" si="5"/>
        <v>6761.3062242170236</v>
      </c>
      <c r="O75" s="125">
        <v>19656.237646868518</v>
      </c>
      <c r="P75" s="128" t="s">
        <v>414</v>
      </c>
      <c r="Q75" s="122" t="s">
        <v>117</v>
      </c>
      <c r="R75" s="129">
        <v>0</v>
      </c>
    </row>
    <row r="76" spans="1:18" s="122" customFormat="1" x14ac:dyDescent="0.2">
      <c r="A76" s="122" t="s">
        <v>428</v>
      </c>
      <c r="B76" s="123" t="s">
        <v>416</v>
      </c>
      <c r="C76" s="122">
        <v>309341808</v>
      </c>
      <c r="D76" s="124">
        <v>45933</v>
      </c>
      <c r="E76" s="124">
        <v>45177</v>
      </c>
      <c r="F76" s="115">
        <v>13226.297997720156</v>
      </c>
      <c r="G76" s="115">
        <v>3.2722000000000002</v>
      </c>
      <c r="H76" s="125">
        <v>43279.092308139894</v>
      </c>
      <c r="I76" s="126">
        <v>0.62170000000000003</v>
      </c>
      <c r="J76" s="127">
        <v>0.3</v>
      </c>
      <c r="K76" s="125">
        <v>20741.404894083153</v>
      </c>
      <c r="L76" s="128">
        <f t="shared" si="4"/>
        <v>12894.931422651496</v>
      </c>
      <c r="M76" s="125">
        <v>22537.687414056745</v>
      </c>
      <c r="N76" s="128">
        <f t="shared" si="5"/>
        <v>6761.3062242170236</v>
      </c>
      <c r="O76" s="125">
        <v>19656.237646868518</v>
      </c>
      <c r="P76" s="128" t="s">
        <v>414</v>
      </c>
      <c r="Q76" s="122" t="s">
        <v>117</v>
      </c>
      <c r="R76" s="129">
        <v>0</v>
      </c>
    </row>
    <row r="77" spans="1:18" s="122" customFormat="1" x14ac:dyDescent="0.2">
      <c r="A77" s="122" t="s">
        <v>428</v>
      </c>
      <c r="B77" s="123" t="s">
        <v>416</v>
      </c>
      <c r="C77" s="122">
        <v>309341808</v>
      </c>
      <c r="D77" s="124">
        <v>45933</v>
      </c>
      <c r="E77" s="124">
        <v>45177</v>
      </c>
      <c r="F77" s="115">
        <v>13226.297997720156</v>
      </c>
      <c r="G77" s="115">
        <v>3.2722000000000002</v>
      </c>
      <c r="H77" s="125">
        <v>43279.092308139894</v>
      </c>
      <c r="I77" s="126">
        <v>0.62170000000000003</v>
      </c>
      <c r="J77" s="127">
        <v>0.3</v>
      </c>
      <c r="K77" s="125">
        <v>20741.404894083153</v>
      </c>
      <c r="L77" s="128">
        <f t="shared" si="4"/>
        <v>12894.931422651496</v>
      </c>
      <c r="M77" s="125">
        <v>22537.687414056745</v>
      </c>
      <c r="N77" s="128">
        <f t="shared" si="5"/>
        <v>6761.3062242170236</v>
      </c>
      <c r="O77" s="125">
        <v>19656.237646868518</v>
      </c>
      <c r="P77" s="128" t="s">
        <v>414</v>
      </c>
      <c r="Q77" s="122" t="s">
        <v>117</v>
      </c>
      <c r="R77" s="129">
        <v>0</v>
      </c>
    </row>
    <row r="78" spans="1:18" s="122" customFormat="1" x14ac:dyDescent="0.2">
      <c r="A78" s="122" t="s">
        <v>428</v>
      </c>
      <c r="B78" s="123" t="s">
        <v>416</v>
      </c>
      <c r="C78" s="122">
        <v>309341808</v>
      </c>
      <c r="D78" s="124">
        <v>45933</v>
      </c>
      <c r="E78" s="124">
        <v>45177</v>
      </c>
      <c r="F78" s="115">
        <v>13226.297997720156</v>
      </c>
      <c r="G78" s="115">
        <v>3.2722000000000002</v>
      </c>
      <c r="H78" s="125">
        <v>43279.092308139894</v>
      </c>
      <c r="I78" s="126">
        <v>0.62170000000000003</v>
      </c>
      <c r="J78" s="127">
        <v>0.3</v>
      </c>
      <c r="K78" s="125">
        <v>20741.404894083153</v>
      </c>
      <c r="L78" s="128">
        <f t="shared" si="4"/>
        <v>12894.931422651496</v>
      </c>
      <c r="M78" s="125">
        <v>22537.687414056745</v>
      </c>
      <c r="N78" s="128">
        <f t="shared" si="5"/>
        <v>6761.3062242170236</v>
      </c>
      <c r="O78" s="125">
        <v>19656.237646868518</v>
      </c>
      <c r="P78" s="128" t="s">
        <v>414</v>
      </c>
      <c r="Q78" s="122" t="s">
        <v>117</v>
      </c>
      <c r="R78" s="129">
        <v>0</v>
      </c>
    </row>
    <row r="79" spans="1:18" s="122" customFormat="1" x14ac:dyDescent="0.2">
      <c r="A79" s="122" t="s">
        <v>428</v>
      </c>
      <c r="B79" s="123" t="s">
        <v>416</v>
      </c>
      <c r="C79" s="122">
        <v>309341808</v>
      </c>
      <c r="D79" s="124">
        <v>45933</v>
      </c>
      <c r="E79" s="124">
        <v>45177</v>
      </c>
      <c r="F79" s="115">
        <v>13533.886323248533</v>
      </c>
      <c r="G79" s="115">
        <v>3.2722000000000002</v>
      </c>
      <c r="H79" s="125">
        <v>44285.582826933853</v>
      </c>
      <c r="I79" s="126">
        <v>0.62170000000000003</v>
      </c>
      <c r="J79" s="127">
        <v>0.3</v>
      </c>
      <c r="K79" s="125">
        <v>21223.763147433921</v>
      </c>
      <c r="L79" s="128">
        <f t="shared" si="4"/>
        <v>13194.81354875967</v>
      </c>
      <c r="M79" s="125">
        <v>23061.819679499931</v>
      </c>
      <c r="N79" s="128">
        <f t="shared" si="5"/>
        <v>6918.5459038499794</v>
      </c>
      <c r="O79" s="125">
        <v>20113.359452609649</v>
      </c>
      <c r="P79" s="128" t="s">
        <v>414</v>
      </c>
      <c r="Q79" s="122" t="s">
        <v>117</v>
      </c>
      <c r="R79" s="129">
        <v>0</v>
      </c>
    </row>
    <row r="80" spans="1:18" s="122" customFormat="1" x14ac:dyDescent="0.2">
      <c r="A80" s="122" t="s">
        <v>428</v>
      </c>
      <c r="B80" s="123" t="s">
        <v>416</v>
      </c>
      <c r="C80" s="122">
        <v>309341808</v>
      </c>
      <c r="D80" s="124">
        <v>45933</v>
      </c>
      <c r="E80" s="124">
        <v>45177</v>
      </c>
      <c r="F80" s="115">
        <v>13226.297997720156</v>
      </c>
      <c r="G80" s="115">
        <v>3.2722000000000002</v>
      </c>
      <c r="H80" s="125">
        <v>43279.092308139894</v>
      </c>
      <c r="I80" s="126">
        <v>0.62170000000000003</v>
      </c>
      <c r="J80" s="127">
        <v>0.3</v>
      </c>
      <c r="K80" s="125">
        <v>20741.404894083153</v>
      </c>
      <c r="L80" s="128">
        <f t="shared" si="4"/>
        <v>12894.931422651496</v>
      </c>
      <c r="M80" s="125">
        <v>22537.687414056745</v>
      </c>
      <c r="N80" s="128">
        <f t="shared" si="5"/>
        <v>6761.3062242170236</v>
      </c>
      <c r="O80" s="125">
        <v>19656.237646868518</v>
      </c>
      <c r="P80" s="128" t="s">
        <v>414</v>
      </c>
      <c r="Q80" s="122" t="s">
        <v>117</v>
      </c>
      <c r="R80" s="129">
        <v>0</v>
      </c>
    </row>
    <row r="81" spans="1:18" s="122" customFormat="1" x14ac:dyDescent="0.2">
      <c r="A81" s="122" t="s">
        <v>428</v>
      </c>
      <c r="B81" s="123" t="s">
        <v>416</v>
      </c>
      <c r="C81" s="122">
        <v>309341808</v>
      </c>
      <c r="D81" s="124">
        <v>45933</v>
      </c>
      <c r="E81" s="124">
        <v>44753</v>
      </c>
      <c r="F81" s="115">
        <v>41216.835620802347</v>
      </c>
      <c r="G81" s="115">
        <v>3.2722000000000002</v>
      </c>
      <c r="H81" s="125">
        <v>134869.72951838945</v>
      </c>
      <c r="I81" s="126">
        <v>0.62170000000000003</v>
      </c>
      <c r="J81" s="127">
        <v>0.3</v>
      </c>
      <c r="K81" s="125">
        <v>67655.634759076274</v>
      </c>
      <c r="L81" s="128">
        <f t="shared" si="4"/>
        <v>42061.508129717724</v>
      </c>
      <c r="M81" s="125">
        <v>67214.094759313171</v>
      </c>
      <c r="N81" s="128">
        <f t="shared" si="5"/>
        <v>20164.228427793951</v>
      </c>
      <c r="O81" s="125">
        <v>62225.736557511678</v>
      </c>
      <c r="P81" s="128" t="s">
        <v>414</v>
      </c>
      <c r="Q81" s="122" t="s">
        <v>117</v>
      </c>
      <c r="R81" s="129">
        <v>0</v>
      </c>
    </row>
    <row r="82" spans="1:18" s="122" customFormat="1" x14ac:dyDescent="0.2">
      <c r="A82" s="122" t="s">
        <v>428</v>
      </c>
      <c r="B82" s="123" t="s">
        <v>416</v>
      </c>
      <c r="C82" s="122">
        <v>309341808</v>
      </c>
      <c r="D82" s="124">
        <v>45933</v>
      </c>
      <c r="E82" s="124">
        <v>45177</v>
      </c>
      <c r="F82" s="115">
        <v>13533.886323248533</v>
      </c>
      <c r="G82" s="115">
        <v>3.2722000000000002</v>
      </c>
      <c r="H82" s="125">
        <v>44285.582826933853</v>
      </c>
      <c r="I82" s="126">
        <v>0.62170000000000003</v>
      </c>
      <c r="J82" s="127">
        <v>0.3</v>
      </c>
      <c r="K82" s="125">
        <v>21223.763147433921</v>
      </c>
      <c r="L82" s="128">
        <f t="shared" si="4"/>
        <v>13194.81354875967</v>
      </c>
      <c r="M82" s="125">
        <v>23061.819679499931</v>
      </c>
      <c r="N82" s="128">
        <f t="shared" si="5"/>
        <v>6918.5459038499794</v>
      </c>
      <c r="O82" s="125">
        <v>20113.359452609649</v>
      </c>
      <c r="P82" s="128" t="s">
        <v>414</v>
      </c>
      <c r="Q82" s="122" t="s">
        <v>117</v>
      </c>
      <c r="R82" s="129">
        <v>0</v>
      </c>
    </row>
    <row r="83" spans="1:18" s="122" customFormat="1" x14ac:dyDescent="0.2">
      <c r="A83" s="122" t="s">
        <v>428</v>
      </c>
      <c r="B83" s="123" t="s">
        <v>416</v>
      </c>
      <c r="C83" s="122">
        <v>309341808</v>
      </c>
      <c r="D83" s="124">
        <v>45933</v>
      </c>
      <c r="E83" s="124">
        <v>45177</v>
      </c>
      <c r="F83" s="115">
        <v>13226.297997720156</v>
      </c>
      <c r="G83" s="115">
        <v>3.2722000000000002</v>
      </c>
      <c r="H83" s="125">
        <v>43279.092308139894</v>
      </c>
      <c r="I83" s="126">
        <v>0.62170000000000003</v>
      </c>
      <c r="J83" s="127">
        <v>0.3</v>
      </c>
      <c r="K83" s="125">
        <v>20741.404894083153</v>
      </c>
      <c r="L83" s="128">
        <f t="shared" si="4"/>
        <v>12894.931422651496</v>
      </c>
      <c r="M83" s="125">
        <v>22537.687414056745</v>
      </c>
      <c r="N83" s="128">
        <f t="shared" si="5"/>
        <v>6761.3062242170236</v>
      </c>
      <c r="O83" s="125">
        <v>19656.237646868518</v>
      </c>
      <c r="P83" s="128" t="s">
        <v>414</v>
      </c>
      <c r="Q83" s="122" t="s">
        <v>117</v>
      </c>
      <c r="R83" s="129">
        <v>0</v>
      </c>
    </row>
    <row r="84" spans="1:18" s="122" customFormat="1" x14ac:dyDescent="0.2">
      <c r="A84" s="122" t="s">
        <v>429</v>
      </c>
      <c r="B84" s="123" t="s">
        <v>416</v>
      </c>
      <c r="C84" s="122">
        <v>323235135</v>
      </c>
      <c r="D84" s="124">
        <v>45954</v>
      </c>
      <c r="E84" s="124">
        <v>45177</v>
      </c>
      <c r="F84" s="115">
        <v>5516.6681367432147</v>
      </c>
      <c r="G84" s="115">
        <v>3.2262</v>
      </c>
      <c r="H84" s="125">
        <v>17797.87474276096</v>
      </c>
      <c r="I84" s="126">
        <v>0.62170000000000003</v>
      </c>
      <c r="J84" s="127">
        <v>0.3</v>
      </c>
      <c r="K84" s="125">
        <v>8084.352281772698</v>
      </c>
      <c r="L84" s="128">
        <f t="shared" si="4"/>
        <v>5026.0418135780865</v>
      </c>
      <c r="M84" s="125">
        <v>9713.5224609882607</v>
      </c>
      <c r="N84" s="128">
        <f t="shared" si="5"/>
        <v>2914.0567382964782</v>
      </c>
      <c r="O84" s="125">
        <v>7940.0985518745647</v>
      </c>
      <c r="P84" s="128" t="s">
        <v>414</v>
      </c>
      <c r="Q84" s="122" t="s">
        <v>109</v>
      </c>
      <c r="R84" s="129">
        <v>0</v>
      </c>
    </row>
    <row r="85" spans="1:18" s="122" customFormat="1" x14ac:dyDescent="0.2">
      <c r="A85" s="122" t="s">
        <v>429</v>
      </c>
      <c r="B85" s="123" t="s">
        <v>416</v>
      </c>
      <c r="C85" s="122">
        <v>323235135</v>
      </c>
      <c r="D85" s="124">
        <v>45954</v>
      </c>
      <c r="E85" s="124">
        <v>45043</v>
      </c>
      <c r="F85" s="115">
        <v>4218.6285751565765</v>
      </c>
      <c r="G85" s="115">
        <v>3.2262</v>
      </c>
      <c r="H85" s="125">
        <v>13610.139509170147</v>
      </c>
      <c r="I85" s="126">
        <v>0.62170000000000003</v>
      </c>
      <c r="J85" s="127">
        <v>0.3</v>
      </c>
      <c r="K85" s="125">
        <v>4443.9095165998469</v>
      </c>
      <c r="L85" s="128">
        <f t="shared" si="4"/>
        <v>2762.7785464701251</v>
      </c>
      <c r="M85" s="125">
        <v>9166.2299925702991</v>
      </c>
      <c r="N85" s="128">
        <f t="shared" si="5"/>
        <v>2749.8689977710897</v>
      </c>
      <c r="O85" s="125">
        <v>5512.6475442412138</v>
      </c>
      <c r="P85" s="128" t="s">
        <v>414</v>
      </c>
      <c r="Q85" s="122" t="s">
        <v>109</v>
      </c>
      <c r="R85" s="129">
        <v>0</v>
      </c>
    </row>
    <row r="86" spans="1:18" s="122" customFormat="1" x14ac:dyDescent="0.2">
      <c r="A86" s="122" t="s">
        <v>429</v>
      </c>
      <c r="B86" s="123" t="s">
        <v>416</v>
      </c>
      <c r="C86" s="122">
        <v>323235135</v>
      </c>
      <c r="D86" s="124">
        <v>45954</v>
      </c>
      <c r="E86" s="124">
        <v>44818</v>
      </c>
      <c r="F86" s="115">
        <v>186268.67708768265</v>
      </c>
      <c r="G86" s="115">
        <v>3.2262</v>
      </c>
      <c r="H86" s="125">
        <v>600940.0060202817</v>
      </c>
      <c r="I86" s="126">
        <v>0.62170000000000003</v>
      </c>
      <c r="J86" s="127">
        <v>0.3</v>
      </c>
      <c r="K86" s="125">
        <v>307735.28538122389</v>
      </c>
      <c r="L86" s="128">
        <f t="shared" si="4"/>
        <v>191319.02692150691</v>
      </c>
      <c r="M86" s="125">
        <v>293204.72063905786</v>
      </c>
      <c r="N86" s="128">
        <f t="shared" si="5"/>
        <v>87961.416191717362</v>
      </c>
      <c r="O86" s="125">
        <v>279280.44311322423</v>
      </c>
      <c r="P86" s="128" t="s">
        <v>414</v>
      </c>
      <c r="Q86" s="122" t="s">
        <v>109</v>
      </c>
      <c r="R86" s="129">
        <v>0</v>
      </c>
    </row>
    <row r="87" spans="1:18" s="122" customFormat="1" x14ac:dyDescent="0.2">
      <c r="A87" s="122" t="s">
        <v>429</v>
      </c>
      <c r="B87" s="123" t="s">
        <v>416</v>
      </c>
      <c r="C87" s="122">
        <v>323235135</v>
      </c>
      <c r="D87" s="124">
        <v>45954</v>
      </c>
      <c r="E87" s="124">
        <v>45177</v>
      </c>
      <c r="F87" s="115">
        <v>5516.6681367432147</v>
      </c>
      <c r="G87" s="115">
        <v>3.2262</v>
      </c>
      <c r="H87" s="125">
        <v>17797.87474276096</v>
      </c>
      <c r="I87" s="126">
        <v>0.62170000000000003</v>
      </c>
      <c r="J87" s="127">
        <v>0.3</v>
      </c>
      <c r="K87" s="125">
        <v>8084.352281772698</v>
      </c>
      <c r="L87" s="128">
        <f t="shared" si="4"/>
        <v>5026.0418135780865</v>
      </c>
      <c r="M87" s="125">
        <v>9713.5224609882607</v>
      </c>
      <c r="N87" s="128">
        <f t="shared" si="5"/>
        <v>2914.0567382964782</v>
      </c>
      <c r="O87" s="125">
        <v>7940.0985518745647</v>
      </c>
      <c r="P87" s="128" t="s">
        <v>414</v>
      </c>
      <c r="Q87" s="122" t="s">
        <v>109</v>
      </c>
      <c r="R87" s="129">
        <v>0</v>
      </c>
    </row>
    <row r="88" spans="1:18" s="122" customFormat="1" x14ac:dyDescent="0.2">
      <c r="A88" s="122" t="s">
        <v>429</v>
      </c>
      <c r="B88" s="123" t="s">
        <v>416</v>
      </c>
      <c r="C88" s="122">
        <v>323235135</v>
      </c>
      <c r="D88" s="124">
        <v>45954</v>
      </c>
      <c r="E88" s="124">
        <v>45043</v>
      </c>
      <c r="F88" s="115">
        <v>3894.1186847599165</v>
      </c>
      <c r="G88" s="115">
        <v>3.2262</v>
      </c>
      <c r="H88" s="125">
        <v>12563.205700772442</v>
      </c>
      <c r="I88" s="126">
        <v>0.62170000000000003</v>
      </c>
      <c r="J88" s="127">
        <v>0.3</v>
      </c>
      <c r="K88" s="125">
        <v>4102.070323015244</v>
      </c>
      <c r="L88" s="128">
        <f t="shared" si="4"/>
        <v>2550.2571198185774</v>
      </c>
      <c r="M88" s="125">
        <v>8461.1353777571985</v>
      </c>
      <c r="N88" s="128">
        <f t="shared" si="5"/>
        <v>2538.3406133271596</v>
      </c>
      <c r="O88" s="125">
        <v>5088.597733145737</v>
      </c>
      <c r="P88" s="128" t="s">
        <v>414</v>
      </c>
      <c r="Q88" s="122" t="s">
        <v>109</v>
      </c>
      <c r="R88" s="129">
        <v>0</v>
      </c>
    </row>
    <row r="89" spans="1:18" s="122" customFormat="1" x14ac:dyDescent="0.2">
      <c r="A89" s="122" t="s">
        <v>429</v>
      </c>
      <c r="B89" s="123" t="s">
        <v>416</v>
      </c>
      <c r="C89" s="122">
        <v>323235135</v>
      </c>
      <c r="D89" s="124">
        <v>45954</v>
      </c>
      <c r="E89" s="124">
        <v>45043</v>
      </c>
      <c r="F89" s="115">
        <v>3894.1186847599165</v>
      </c>
      <c r="G89" s="115">
        <v>3.2262</v>
      </c>
      <c r="H89" s="125">
        <v>12563.205700772442</v>
      </c>
      <c r="I89" s="126">
        <v>0.62170000000000003</v>
      </c>
      <c r="J89" s="127">
        <v>0.3</v>
      </c>
      <c r="K89" s="125">
        <v>4102.070323015244</v>
      </c>
      <c r="L89" s="128">
        <f t="shared" si="4"/>
        <v>2550.2571198185774</v>
      </c>
      <c r="M89" s="125">
        <v>8461.1353777571985</v>
      </c>
      <c r="N89" s="128">
        <f t="shared" si="5"/>
        <v>2538.3406133271596</v>
      </c>
      <c r="O89" s="125">
        <v>5088.597733145737</v>
      </c>
      <c r="P89" s="128" t="s">
        <v>414</v>
      </c>
      <c r="Q89" s="122" t="s">
        <v>109</v>
      </c>
      <c r="R89" s="129">
        <v>0</v>
      </c>
    </row>
    <row r="90" spans="1:18" s="122" customFormat="1" x14ac:dyDescent="0.2">
      <c r="A90" s="122" t="s">
        <v>429</v>
      </c>
      <c r="B90" s="123" t="s">
        <v>416</v>
      </c>
      <c r="C90" s="122">
        <v>323235135</v>
      </c>
      <c r="D90" s="124">
        <v>45954</v>
      </c>
      <c r="E90" s="124">
        <v>44753</v>
      </c>
      <c r="F90" s="115">
        <v>38941.186847599165</v>
      </c>
      <c r="G90" s="115">
        <v>3.2262</v>
      </c>
      <c r="H90" s="125">
        <v>125632.05700772442</v>
      </c>
      <c r="I90" s="126">
        <v>0.62170000000000003</v>
      </c>
      <c r="J90" s="127">
        <v>0.3</v>
      </c>
      <c r="K90" s="125">
        <v>59732.146922009226</v>
      </c>
      <c r="L90" s="128">
        <f t="shared" si="4"/>
        <v>37135.475741413138</v>
      </c>
      <c r="M90" s="125">
        <v>65899.910085715193</v>
      </c>
      <c r="N90" s="128">
        <f t="shared" si="5"/>
        <v>19769.973025714557</v>
      </c>
      <c r="O90" s="125">
        <v>56905.448767127695</v>
      </c>
      <c r="P90" s="128" t="s">
        <v>414</v>
      </c>
      <c r="Q90" s="122" t="s">
        <v>109</v>
      </c>
      <c r="R90" s="129">
        <v>0</v>
      </c>
    </row>
    <row r="91" spans="1:18" s="122" customFormat="1" x14ac:dyDescent="0.2">
      <c r="A91" s="122" t="s">
        <v>429</v>
      </c>
      <c r="B91" s="123" t="s">
        <v>416</v>
      </c>
      <c r="C91" s="122">
        <v>323235135</v>
      </c>
      <c r="D91" s="124">
        <v>45954</v>
      </c>
      <c r="E91" s="124">
        <v>45043</v>
      </c>
      <c r="F91" s="115">
        <v>3894.1186847599165</v>
      </c>
      <c r="G91" s="115">
        <v>3.2262</v>
      </c>
      <c r="H91" s="125">
        <v>12563.205700772442</v>
      </c>
      <c r="I91" s="126">
        <v>0.62170000000000003</v>
      </c>
      <c r="J91" s="127">
        <v>0.3</v>
      </c>
      <c r="K91" s="125">
        <v>4102.070323015244</v>
      </c>
      <c r="L91" s="128">
        <f t="shared" si="4"/>
        <v>2550.2571198185774</v>
      </c>
      <c r="M91" s="125">
        <v>8461.1353777571985</v>
      </c>
      <c r="N91" s="128">
        <f t="shared" si="5"/>
        <v>2538.3406133271596</v>
      </c>
      <c r="O91" s="125">
        <v>5088.597733145737</v>
      </c>
      <c r="P91" s="128" t="s">
        <v>414</v>
      </c>
      <c r="Q91" s="122" t="s">
        <v>109</v>
      </c>
      <c r="R91" s="129">
        <v>0</v>
      </c>
    </row>
    <row r="92" spans="1:18" s="122" customFormat="1" x14ac:dyDescent="0.2">
      <c r="A92" s="122" t="s">
        <v>429</v>
      </c>
      <c r="B92" s="123" t="s">
        <v>416</v>
      </c>
      <c r="C92" s="122">
        <v>323235135</v>
      </c>
      <c r="D92" s="124">
        <v>45954</v>
      </c>
      <c r="E92" s="124">
        <v>45177</v>
      </c>
      <c r="F92" s="115">
        <v>5516.6681367432147</v>
      </c>
      <c r="G92" s="115">
        <v>3.2262</v>
      </c>
      <c r="H92" s="125">
        <v>17797.87474276096</v>
      </c>
      <c r="I92" s="126">
        <v>0.62170000000000003</v>
      </c>
      <c r="J92" s="127">
        <v>0.3</v>
      </c>
      <c r="K92" s="125">
        <v>8084.352281772698</v>
      </c>
      <c r="L92" s="128">
        <f t="shared" si="4"/>
        <v>5026.0418135780865</v>
      </c>
      <c r="M92" s="125">
        <v>9713.5224609882607</v>
      </c>
      <c r="N92" s="128">
        <f t="shared" si="5"/>
        <v>2914.0567382964782</v>
      </c>
      <c r="O92" s="125">
        <v>7940.0985518745647</v>
      </c>
      <c r="P92" s="128" t="s">
        <v>414</v>
      </c>
      <c r="Q92" s="122" t="s">
        <v>109</v>
      </c>
      <c r="R92" s="129">
        <v>0</v>
      </c>
    </row>
    <row r="93" spans="1:18" s="122" customFormat="1" x14ac:dyDescent="0.2">
      <c r="A93" s="122" t="s">
        <v>429</v>
      </c>
      <c r="B93" s="123" t="s">
        <v>416</v>
      </c>
      <c r="C93" s="122">
        <v>323235135</v>
      </c>
      <c r="D93" s="124">
        <v>45954</v>
      </c>
      <c r="E93" s="124">
        <v>45043</v>
      </c>
      <c r="F93" s="115">
        <v>3894.1186847599165</v>
      </c>
      <c r="G93" s="115">
        <v>3.2262</v>
      </c>
      <c r="H93" s="125">
        <v>12563.205700772442</v>
      </c>
      <c r="I93" s="126">
        <v>0.62170000000000003</v>
      </c>
      <c r="J93" s="127">
        <v>0.3</v>
      </c>
      <c r="K93" s="125">
        <v>4102.070323015244</v>
      </c>
      <c r="L93" s="128">
        <f t="shared" si="4"/>
        <v>2550.2571198185774</v>
      </c>
      <c r="M93" s="125">
        <v>8461.1353777571985</v>
      </c>
      <c r="N93" s="128">
        <f t="shared" si="5"/>
        <v>2538.3406133271596</v>
      </c>
      <c r="O93" s="125">
        <v>5088.597733145737</v>
      </c>
      <c r="P93" s="128" t="s">
        <v>414</v>
      </c>
      <c r="Q93" s="122" t="s">
        <v>109</v>
      </c>
      <c r="R93" s="129">
        <v>0</v>
      </c>
    </row>
    <row r="94" spans="1:18" s="122" customFormat="1" x14ac:dyDescent="0.2">
      <c r="A94" s="122" t="s">
        <v>429</v>
      </c>
      <c r="B94" s="123" t="s">
        <v>416</v>
      </c>
      <c r="C94" s="122">
        <v>323235135</v>
      </c>
      <c r="D94" s="124">
        <v>45954</v>
      </c>
      <c r="E94" s="124">
        <v>45043</v>
      </c>
      <c r="F94" s="115">
        <v>3894.1186847599165</v>
      </c>
      <c r="G94" s="115">
        <v>3.2262</v>
      </c>
      <c r="H94" s="125">
        <v>12563.205700772442</v>
      </c>
      <c r="I94" s="126">
        <v>0.62170000000000003</v>
      </c>
      <c r="J94" s="127">
        <v>0.3</v>
      </c>
      <c r="K94" s="125">
        <v>4102.070323015244</v>
      </c>
      <c r="L94" s="128">
        <f t="shared" si="4"/>
        <v>2550.2571198185774</v>
      </c>
      <c r="M94" s="125">
        <v>8461.1353777571985</v>
      </c>
      <c r="N94" s="128">
        <f t="shared" si="5"/>
        <v>2538.3406133271596</v>
      </c>
      <c r="O94" s="125">
        <v>5088.597733145737</v>
      </c>
      <c r="P94" s="128" t="s">
        <v>414</v>
      </c>
      <c r="Q94" s="122" t="s">
        <v>109</v>
      </c>
      <c r="R94" s="129">
        <v>0</v>
      </c>
    </row>
    <row r="95" spans="1:18" s="122" customFormat="1" x14ac:dyDescent="0.2">
      <c r="A95" s="122" t="s">
        <v>429</v>
      </c>
      <c r="B95" s="123" t="s">
        <v>416</v>
      </c>
      <c r="C95" s="122">
        <v>323235135</v>
      </c>
      <c r="D95" s="124">
        <v>45954</v>
      </c>
      <c r="E95" s="124">
        <v>45177</v>
      </c>
      <c r="F95" s="115">
        <v>5841.1780271398748</v>
      </c>
      <c r="G95" s="115">
        <v>3.2262</v>
      </c>
      <c r="H95" s="125">
        <v>18844.808551158665</v>
      </c>
      <c r="I95" s="126">
        <v>0.62170000000000003</v>
      </c>
      <c r="J95" s="127">
        <v>0.3</v>
      </c>
      <c r="K95" s="125">
        <v>8559.9024159946221</v>
      </c>
      <c r="L95" s="128">
        <f t="shared" si="4"/>
        <v>5321.6913320238564</v>
      </c>
      <c r="M95" s="125">
        <v>10284.906135164043</v>
      </c>
      <c r="N95" s="128">
        <f t="shared" si="5"/>
        <v>3085.4718405492126</v>
      </c>
      <c r="O95" s="125">
        <v>8407.1631725730695</v>
      </c>
      <c r="P95" s="128" t="s">
        <v>414</v>
      </c>
      <c r="Q95" s="122" t="s">
        <v>109</v>
      </c>
      <c r="R95" s="129">
        <v>0</v>
      </c>
    </row>
    <row r="96" spans="1:18" s="122" customFormat="1" x14ac:dyDescent="0.2">
      <c r="A96" s="122" t="s">
        <v>429</v>
      </c>
      <c r="B96" s="123" t="s">
        <v>416</v>
      </c>
      <c r="C96" s="122">
        <v>323235135</v>
      </c>
      <c r="D96" s="124">
        <v>45954</v>
      </c>
      <c r="E96" s="124">
        <v>45177</v>
      </c>
      <c r="F96" s="115">
        <v>5516.6681367432147</v>
      </c>
      <c r="G96" s="115">
        <v>3.2262</v>
      </c>
      <c r="H96" s="125">
        <v>17797.87474276096</v>
      </c>
      <c r="I96" s="126">
        <v>0.62170000000000003</v>
      </c>
      <c r="J96" s="127">
        <v>0.3</v>
      </c>
      <c r="K96" s="125">
        <v>8084.352281772698</v>
      </c>
      <c r="L96" s="128">
        <f t="shared" si="4"/>
        <v>5026.0418135780865</v>
      </c>
      <c r="M96" s="125">
        <v>9713.5224609882607</v>
      </c>
      <c r="N96" s="128">
        <f t="shared" si="5"/>
        <v>2914.0567382964782</v>
      </c>
      <c r="O96" s="125">
        <v>7940.0985518745647</v>
      </c>
      <c r="P96" s="128" t="s">
        <v>414</v>
      </c>
      <c r="Q96" s="122" t="s">
        <v>109</v>
      </c>
      <c r="R96" s="129">
        <v>0</v>
      </c>
    </row>
    <row r="97" spans="1:18" s="122" customFormat="1" x14ac:dyDescent="0.2">
      <c r="A97" s="122" t="s">
        <v>429</v>
      </c>
      <c r="B97" s="123" t="s">
        <v>416</v>
      </c>
      <c r="C97" s="122">
        <v>323235135</v>
      </c>
      <c r="D97" s="124">
        <v>45954</v>
      </c>
      <c r="E97" s="124">
        <v>45177</v>
      </c>
      <c r="F97" s="115">
        <v>5841.1780271398748</v>
      </c>
      <c r="G97" s="115">
        <v>3.2262</v>
      </c>
      <c r="H97" s="125">
        <v>18844.808551158665</v>
      </c>
      <c r="I97" s="126">
        <v>0.62170000000000003</v>
      </c>
      <c r="J97" s="127">
        <v>0.3</v>
      </c>
      <c r="K97" s="125">
        <v>8559.9024159946221</v>
      </c>
      <c r="L97" s="128">
        <f t="shared" si="4"/>
        <v>5321.6913320238564</v>
      </c>
      <c r="M97" s="125">
        <v>10284.906135164043</v>
      </c>
      <c r="N97" s="128">
        <f t="shared" si="5"/>
        <v>3085.4718405492126</v>
      </c>
      <c r="O97" s="125">
        <v>8407.1631725730695</v>
      </c>
      <c r="P97" s="128" t="s">
        <v>414</v>
      </c>
      <c r="Q97" s="122" t="s">
        <v>109</v>
      </c>
      <c r="R97" s="129">
        <v>0</v>
      </c>
    </row>
    <row r="98" spans="1:18" s="122" customFormat="1" x14ac:dyDescent="0.2">
      <c r="A98" s="122" t="s">
        <v>429</v>
      </c>
      <c r="B98" s="123" t="s">
        <v>416</v>
      </c>
      <c r="C98" s="122">
        <v>323235135</v>
      </c>
      <c r="D98" s="124">
        <v>45954</v>
      </c>
      <c r="E98" s="124">
        <v>45043</v>
      </c>
      <c r="F98" s="115">
        <v>3894.1186847599165</v>
      </c>
      <c r="G98" s="115">
        <v>3.2262</v>
      </c>
      <c r="H98" s="125">
        <v>12563.205700772442</v>
      </c>
      <c r="I98" s="126">
        <v>0.62170000000000003</v>
      </c>
      <c r="J98" s="127">
        <v>0.3</v>
      </c>
      <c r="K98" s="125">
        <v>4102.070323015244</v>
      </c>
      <c r="L98" s="128">
        <f t="shared" ref="L98:L129" si="6">I98*K98</f>
        <v>2550.2571198185774</v>
      </c>
      <c r="M98" s="125">
        <v>8461.1353777571985</v>
      </c>
      <c r="N98" s="128">
        <f t="shared" ref="N98:N129" si="7">M98*J98</f>
        <v>2538.3406133271596</v>
      </c>
      <c r="O98" s="125">
        <v>5088.597733145737</v>
      </c>
      <c r="P98" s="128" t="s">
        <v>414</v>
      </c>
      <c r="Q98" s="122" t="s">
        <v>109</v>
      </c>
      <c r="R98" s="129">
        <v>0</v>
      </c>
    </row>
    <row r="99" spans="1:18" s="122" customFormat="1" x14ac:dyDescent="0.2">
      <c r="A99" s="122" t="s">
        <v>429</v>
      </c>
      <c r="B99" s="123" t="s">
        <v>416</v>
      </c>
      <c r="C99" s="122">
        <v>323235135</v>
      </c>
      <c r="D99" s="124">
        <v>45954</v>
      </c>
      <c r="E99" s="124">
        <v>45043</v>
      </c>
      <c r="F99" s="115">
        <v>3894.1186847599165</v>
      </c>
      <c r="G99" s="115">
        <v>3.2262</v>
      </c>
      <c r="H99" s="125">
        <v>12563.205700772442</v>
      </c>
      <c r="I99" s="126">
        <v>0.62170000000000003</v>
      </c>
      <c r="J99" s="127">
        <v>0.3</v>
      </c>
      <c r="K99" s="125">
        <v>4102.070323015244</v>
      </c>
      <c r="L99" s="128">
        <f t="shared" si="6"/>
        <v>2550.2571198185774</v>
      </c>
      <c r="M99" s="125">
        <v>8461.1353777571985</v>
      </c>
      <c r="N99" s="128">
        <f t="shared" si="7"/>
        <v>2538.3406133271596</v>
      </c>
      <c r="O99" s="125">
        <v>5088.597733145737</v>
      </c>
      <c r="P99" s="128" t="s">
        <v>414</v>
      </c>
      <c r="Q99" s="122" t="s">
        <v>109</v>
      </c>
      <c r="R99" s="129">
        <v>0</v>
      </c>
    </row>
    <row r="100" spans="1:18" s="122" customFormat="1" x14ac:dyDescent="0.2">
      <c r="A100" s="122" t="s">
        <v>429</v>
      </c>
      <c r="B100" s="123" t="s">
        <v>416</v>
      </c>
      <c r="C100" s="122">
        <v>323235135</v>
      </c>
      <c r="D100" s="124">
        <v>45954</v>
      </c>
      <c r="E100" s="124">
        <v>45043</v>
      </c>
      <c r="F100" s="115">
        <v>4218.6285751565765</v>
      </c>
      <c r="G100" s="115">
        <v>3.2262</v>
      </c>
      <c r="H100" s="125">
        <v>13610.139509170147</v>
      </c>
      <c r="I100" s="126">
        <v>0.62170000000000003</v>
      </c>
      <c r="J100" s="127">
        <v>0.3</v>
      </c>
      <c r="K100" s="125">
        <v>4443.9095165998469</v>
      </c>
      <c r="L100" s="128">
        <f t="shared" si="6"/>
        <v>2762.7785464701251</v>
      </c>
      <c r="M100" s="125">
        <v>9166.2299925702991</v>
      </c>
      <c r="N100" s="128">
        <f t="shared" si="7"/>
        <v>2749.8689977710897</v>
      </c>
      <c r="O100" s="125">
        <v>5512.6475442412138</v>
      </c>
      <c r="P100" s="128" t="s">
        <v>414</v>
      </c>
      <c r="Q100" s="122" t="s">
        <v>109</v>
      </c>
      <c r="R100" s="129">
        <v>0</v>
      </c>
    </row>
    <row r="101" spans="1:18" s="122" customFormat="1" x14ac:dyDescent="0.2">
      <c r="A101" s="122" t="s">
        <v>429</v>
      </c>
      <c r="B101" s="123" t="s">
        <v>416</v>
      </c>
      <c r="C101" s="122">
        <v>323235135</v>
      </c>
      <c r="D101" s="124">
        <v>45954</v>
      </c>
      <c r="E101" s="124">
        <v>45177</v>
      </c>
      <c r="F101" s="115">
        <v>5516.6681367432147</v>
      </c>
      <c r="G101" s="115">
        <v>3.2262</v>
      </c>
      <c r="H101" s="125">
        <v>17797.87474276096</v>
      </c>
      <c r="I101" s="126">
        <v>0.62170000000000003</v>
      </c>
      <c r="J101" s="127">
        <v>0.3</v>
      </c>
      <c r="K101" s="125">
        <v>8084.352281772698</v>
      </c>
      <c r="L101" s="128">
        <f t="shared" si="6"/>
        <v>5026.0418135780865</v>
      </c>
      <c r="M101" s="125">
        <v>9713.5224609882607</v>
      </c>
      <c r="N101" s="128">
        <f t="shared" si="7"/>
        <v>2914.0567382964782</v>
      </c>
      <c r="O101" s="125">
        <v>7940.0985518745647</v>
      </c>
      <c r="P101" s="128" t="s">
        <v>414</v>
      </c>
      <c r="Q101" s="122" t="s">
        <v>109</v>
      </c>
      <c r="R101" s="129">
        <v>0</v>
      </c>
    </row>
    <row r="102" spans="1:18" s="122" customFormat="1" x14ac:dyDescent="0.2">
      <c r="A102" s="122" t="s">
        <v>430</v>
      </c>
      <c r="B102" s="123" t="s">
        <v>416</v>
      </c>
      <c r="C102" s="122">
        <v>318792538</v>
      </c>
      <c r="D102" s="124">
        <v>45957</v>
      </c>
      <c r="E102" s="124">
        <v>45177</v>
      </c>
      <c r="F102" s="115">
        <v>2256.4547738091583</v>
      </c>
      <c r="G102" s="115">
        <v>3.2292000000000001</v>
      </c>
      <c r="H102" s="125">
        <v>7286.5437555845338</v>
      </c>
      <c r="I102" s="126">
        <v>0.62170000000000003</v>
      </c>
      <c r="J102" s="127">
        <v>0.3</v>
      </c>
      <c r="K102" s="125">
        <v>3331.837701744174</v>
      </c>
      <c r="L102" s="128">
        <f t="shared" si="6"/>
        <v>2071.4034991743529</v>
      </c>
      <c r="M102" s="125">
        <v>3954.7060538403603</v>
      </c>
      <c r="N102" s="128">
        <f t="shared" si="7"/>
        <v>1186.411816152108</v>
      </c>
      <c r="O102" s="125">
        <v>3257.8153153264611</v>
      </c>
      <c r="P102" s="128" t="s">
        <v>414</v>
      </c>
      <c r="Q102" s="122" t="s">
        <v>233</v>
      </c>
      <c r="R102" s="129">
        <v>0</v>
      </c>
    </row>
    <row r="103" spans="1:18" s="122" customFormat="1" x14ac:dyDescent="0.2">
      <c r="A103" s="122" t="s">
        <v>430</v>
      </c>
      <c r="B103" s="123" t="s">
        <v>416</v>
      </c>
      <c r="C103" s="122">
        <v>318792538</v>
      </c>
      <c r="D103" s="124">
        <v>45957</v>
      </c>
      <c r="E103" s="124">
        <v>44537</v>
      </c>
      <c r="F103" s="115">
        <v>5479.9615935365282</v>
      </c>
      <c r="G103" s="115">
        <v>3.2292000000000001</v>
      </c>
      <c r="H103" s="125">
        <v>17695.891977848158</v>
      </c>
      <c r="I103" s="126">
        <v>0.62170000000000003</v>
      </c>
      <c r="J103" s="127">
        <v>0.3</v>
      </c>
      <c r="K103" s="125">
        <v>17695.891977848158</v>
      </c>
      <c r="L103" s="128">
        <f t="shared" si="6"/>
        <v>11001.5360426282</v>
      </c>
      <c r="M103" s="125">
        <v>0</v>
      </c>
      <c r="N103" s="128">
        <f t="shared" si="7"/>
        <v>0</v>
      </c>
      <c r="O103" s="125">
        <v>11001.5360426282</v>
      </c>
      <c r="P103" s="128" t="s">
        <v>414</v>
      </c>
      <c r="Q103" s="122" t="s">
        <v>233</v>
      </c>
      <c r="R103" s="129">
        <v>0</v>
      </c>
    </row>
    <row r="104" spans="1:18" s="122" customFormat="1" x14ac:dyDescent="0.2">
      <c r="A104" s="122" t="s">
        <v>430</v>
      </c>
      <c r="B104" s="123" t="s">
        <v>416</v>
      </c>
      <c r="C104" s="122">
        <v>318792538</v>
      </c>
      <c r="D104" s="124">
        <v>45957</v>
      </c>
      <c r="E104" s="124">
        <v>44894</v>
      </c>
      <c r="F104" s="115">
        <v>11604.624551018529</v>
      </c>
      <c r="G104" s="115">
        <v>3.2292000000000001</v>
      </c>
      <c r="H104" s="125">
        <v>37473.653600149031</v>
      </c>
      <c r="I104" s="126">
        <v>0.62170000000000003</v>
      </c>
      <c r="J104" s="127">
        <v>0.3</v>
      </c>
      <c r="K104" s="125">
        <v>16297.614034279277</v>
      </c>
      <c r="L104" s="128">
        <f t="shared" si="6"/>
        <v>10132.226645111426</v>
      </c>
      <c r="M104" s="125">
        <v>21176.039565869756</v>
      </c>
      <c r="N104" s="128">
        <f t="shared" si="7"/>
        <v>6352.811869760927</v>
      </c>
      <c r="O104" s="125">
        <v>16485.038514872351</v>
      </c>
      <c r="P104" s="128" t="s">
        <v>414</v>
      </c>
      <c r="Q104" s="122" t="s">
        <v>233</v>
      </c>
      <c r="R104" s="129">
        <v>0</v>
      </c>
    </row>
    <row r="105" spans="1:18" s="122" customFormat="1" x14ac:dyDescent="0.2">
      <c r="A105" s="122" t="s">
        <v>430</v>
      </c>
      <c r="B105" s="123" t="s">
        <v>416</v>
      </c>
      <c r="C105" s="122">
        <v>318792538</v>
      </c>
      <c r="D105" s="124">
        <v>45957</v>
      </c>
      <c r="E105" s="124">
        <v>44537</v>
      </c>
      <c r="F105" s="115">
        <v>5479.9615935365282</v>
      </c>
      <c r="G105" s="115">
        <v>3.2292000000000001</v>
      </c>
      <c r="H105" s="125">
        <v>17695.891977848158</v>
      </c>
      <c r="I105" s="126">
        <v>0.62170000000000003</v>
      </c>
      <c r="J105" s="127">
        <v>0.3</v>
      </c>
      <c r="K105" s="125">
        <v>17695.891977848158</v>
      </c>
      <c r="L105" s="128">
        <f t="shared" si="6"/>
        <v>11001.5360426282</v>
      </c>
      <c r="M105" s="125">
        <v>0</v>
      </c>
      <c r="N105" s="128">
        <f t="shared" si="7"/>
        <v>0</v>
      </c>
      <c r="O105" s="125">
        <v>11001.5360426282</v>
      </c>
      <c r="P105" s="128" t="s">
        <v>414</v>
      </c>
      <c r="Q105" s="122" t="s">
        <v>233</v>
      </c>
      <c r="R105" s="129">
        <v>0</v>
      </c>
    </row>
    <row r="106" spans="1:18" s="122" customFormat="1" x14ac:dyDescent="0.2">
      <c r="A106" s="122" t="s">
        <v>431</v>
      </c>
      <c r="B106" s="123" t="s">
        <v>416</v>
      </c>
      <c r="C106" s="122">
        <v>32105199</v>
      </c>
      <c r="D106" s="124">
        <v>45958</v>
      </c>
      <c r="E106" s="124">
        <v>45043</v>
      </c>
      <c r="F106" s="115">
        <v>3923.2260594805198</v>
      </c>
      <c r="G106" s="115">
        <v>3.2347999999999999</v>
      </c>
      <c r="H106" s="125">
        <v>12690.851657207584</v>
      </c>
      <c r="I106" s="126">
        <v>0.62170000000000003</v>
      </c>
      <c r="J106" s="127">
        <v>0.3</v>
      </c>
      <c r="K106" s="125">
        <v>4111.2821721987857</v>
      </c>
      <c r="L106" s="128">
        <f t="shared" si="6"/>
        <v>2555.984126455985</v>
      </c>
      <c r="M106" s="125">
        <v>8579.5694850088003</v>
      </c>
      <c r="N106" s="128">
        <f t="shared" si="7"/>
        <v>2573.8708455026399</v>
      </c>
      <c r="O106" s="125">
        <v>5129.8549719586244</v>
      </c>
      <c r="P106" s="128" t="s">
        <v>414</v>
      </c>
      <c r="Q106" s="122" t="s">
        <v>125</v>
      </c>
      <c r="R106" s="129">
        <v>0</v>
      </c>
    </row>
    <row r="107" spans="1:18" s="122" customFormat="1" x14ac:dyDescent="0.2">
      <c r="A107" s="122" t="s">
        <v>431</v>
      </c>
      <c r="B107" s="123" t="s">
        <v>416</v>
      </c>
      <c r="C107" s="122">
        <v>32105199</v>
      </c>
      <c r="D107" s="124">
        <v>45958</v>
      </c>
      <c r="E107" s="124">
        <v>45043</v>
      </c>
      <c r="F107" s="115">
        <v>3923.2260594805198</v>
      </c>
      <c r="G107" s="115">
        <v>3.2347999999999999</v>
      </c>
      <c r="H107" s="125">
        <v>12690.851657207584</v>
      </c>
      <c r="I107" s="126">
        <v>0.62170000000000003</v>
      </c>
      <c r="J107" s="127">
        <v>0.3</v>
      </c>
      <c r="K107" s="125">
        <v>4111.2821721987857</v>
      </c>
      <c r="L107" s="128">
        <f t="shared" si="6"/>
        <v>2555.984126455985</v>
      </c>
      <c r="M107" s="125">
        <v>8579.5694850088003</v>
      </c>
      <c r="N107" s="128">
        <f t="shared" si="7"/>
        <v>2573.8708455026399</v>
      </c>
      <c r="O107" s="125">
        <v>5129.8549719586244</v>
      </c>
      <c r="P107" s="128" t="s">
        <v>414</v>
      </c>
      <c r="Q107" s="122" t="s">
        <v>125</v>
      </c>
      <c r="R107" s="129">
        <v>0</v>
      </c>
    </row>
    <row r="108" spans="1:18" s="122" customFormat="1" x14ac:dyDescent="0.2">
      <c r="A108" s="122" t="s">
        <v>432</v>
      </c>
      <c r="B108" s="123" t="s">
        <v>416</v>
      </c>
      <c r="C108" s="122">
        <v>318638038</v>
      </c>
      <c r="D108" s="124">
        <v>45957</v>
      </c>
      <c r="E108" s="124">
        <v>44630</v>
      </c>
      <c r="F108" s="115">
        <v>12686.725364536742</v>
      </c>
      <c r="G108" s="115">
        <v>3.2292000000000001</v>
      </c>
      <c r="H108" s="125">
        <v>40967.973547162044</v>
      </c>
      <c r="I108" s="126">
        <v>0.62170000000000003</v>
      </c>
      <c r="J108" s="127">
        <v>0.3</v>
      </c>
      <c r="K108" s="125">
        <v>31429.788727715124</v>
      </c>
      <c r="L108" s="128">
        <f t="shared" si="6"/>
        <v>19539.899652020493</v>
      </c>
      <c r="M108" s="125">
        <v>9538.1848194469239</v>
      </c>
      <c r="N108" s="128">
        <f t="shared" si="7"/>
        <v>2861.4554458340772</v>
      </c>
      <c r="O108" s="125">
        <v>22401.355097854568</v>
      </c>
      <c r="P108" s="128" t="s">
        <v>414</v>
      </c>
      <c r="Q108" s="122" t="s">
        <v>103</v>
      </c>
      <c r="R108" s="129">
        <v>0</v>
      </c>
    </row>
    <row r="109" spans="1:18" s="122" customFormat="1" x14ac:dyDescent="0.2">
      <c r="A109" s="122" t="s">
        <v>432</v>
      </c>
      <c r="B109" s="123" t="s">
        <v>416</v>
      </c>
      <c r="C109" s="122">
        <v>318638038</v>
      </c>
      <c r="D109" s="124">
        <v>45957</v>
      </c>
      <c r="E109" s="124">
        <v>45551</v>
      </c>
      <c r="F109" s="115">
        <v>4554.2091052183168</v>
      </c>
      <c r="G109" s="115">
        <v>3.2292000000000001</v>
      </c>
      <c r="H109" s="125">
        <v>14706.452042570989</v>
      </c>
      <c r="I109" s="126">
        <v>0.62170000000000003</v>
      </c>
      <c r="J109" s="127">
        <v>0.3</v>
      </c>
      <c r="K109" s="125">
        <v>14706.452042570989</v>
      </c>
      <c r="L109" s="128">
        <f t="shared" si="6"/>
        <v>9143.001234866384</v>
      </c>
      <c r="M109" s="125">
        <v>0</v>
      </c>
      <c r="N109" s="128">
        <f t="shared" si="7"/>
        <v>0</v>
      </c>
      <c r="O109" s="125">
        <v>9143.0012348663859</v>
      </c>
      <c r="P109" s="128" t="s">
        <v>414</v>
      </c>
      <c r="Q109" s="122" t="s">
        <v>103</v>
      </c>
      <c r="R109" s="129">
        <v>0</v>
      </c>
    </row>
    <row r="110" spans="1:18" s="122" customFormat="1" x14ac:dyDescent="0.2">
      <c r="A110" s="122" t="s">
        <v>432</v>
      </c>
      <c r="B110" s="123" t="s">
        <v>416</v>
      </c>
      <c r="C110" s="122">
        <v>318638038</v>
      </c>
      <c r="D110" s="124">
        <v>45957</v>
      </c>
      <c r="E110" s="124">
        <v>45177</v>
      </c>
      <c r="F110" s="115">
        <v>7481.9149585729501</v>
      </c>
      <c r="G110" s="115">
        <v>3.2292000000000001</v>
      </c>
      <c r="H110" s="125">
        <v>24160.59978422377</v>
      </c>
      <c r="I110" s="126">
        <v>0.62170000000000003</v>
      </c>
      <c r="J110" s="127">
        <v>0.3</v>
      </c>
      <c r="K110" s="125">
        <v>10947.137592279727</v>
      </c>
      <c r="L110" s="128">
        <f t="shared" si="6"/>
        <v>6805.8354411203063</v>
      </c>
      <c r="M110" s="125">
        <v>13213.462191944045</v>
      </c>
      <c r="N110" s="128">
        <f t="shared" si="7"/>
        <v>3964.0386575832135</v>
      </c>
      <c r="O110" s="125">
        <v>10769.874098703518</v>
      </c>
      <c r="P110" s="128" t="s">
        <v>414</v>
      </c>
      <c r="Q110" s="122" t="s">
        <v>103</v>
      </c>
      <c r="R110" s="129">
        <v>0</v>
      </c>
    </row>
    <row r="111" spans="1:18" s="122" customFormat="1" x14ac:dyDescent="0.2">
      <c r="A111" s="122" t="s">
        <v>432</v>
      </c>
      <c r="B111" s="123" t="s">
        <v>416</v>
      </c>
      <c r="C111" s="122">
        <v>318638038</v>
      </c>
      <c r="D111" s="124">
        <v>45957</v>
      </c>
      <c r="E111" s="124">
        <v>45177</v>
      </c>
      <c r="F111" s="115">
        <v>7481.9149585729501</v>
      </c>
      <c r="G111" s="115">
        <v>3.2292000000000001</v>
      </c>
      <c r="H111" s="125">
        <v>24160.59978422377</v>
      </c>
      <c r="I111" s="126">
        <v>0.62170000000000003</v>
      </c>
      <c r="J111" s="127">
        <v>0.3</v>
      </c>
      <c r="K111" s="125">
        <v>10947.137592279727</v>
      </c>
      <c r="L111" s="128">
        <f t="shared" si="6"/>
        <v>6805.8354411203063</v>
      </c>
      <c r="M111" s="125">
        <v>13213.462191944045</v>
      </c>
      <c r="N111" s="128">
        <f t="shared" si="7"/>
        <v>3964.0386575832135</v>
      </c>
      <c r="O111" s="125">
        <v>10769.874098703518</v>
      </c>
      <c r="P111" s="128" t="s">
        <v>414</v>
      </c>
      <c r="Q111" s="122" t="s">
        <v>103</v>
      </c>
      <c r="R111" s="129">
        <v>0</v>
      </c>
    </row>
    <row r="112" spans="1:18" s="122" customFormat="1" x14ac:dyDescent="0.2">
      <c r="A112" s="122" t="s">
        <v>432</v>
      </c>
      <c r="B112" s="123" t="s">
        <v>416</v>
      </c>
      <c r="C112" s="122">
        <v>318638038</v>
      </c>
      <c r="D112" s="124">
        <v>45957</v>
      </c>
      <c r="E112" s="124">
        <v>45043</v>
      </c>
      <c r="F112" s="115">
        <v>5855.4117067092657</v>
      </c>
      <c r="G112" s="115">
        <v>3.2292000000000001</v>
      </c>
      <c r="H112" s="125">
        <v>18908.295483305563</v>
      </c>
      <c r="I112" s="126">
        <v>0.62170000000000003</v>
      </c>
      <c r="J112" s="127">
        <v>0.3</v>
      </c>
      <c r="K112" s="125">
        <v>6158.290092642761</v>
      </c>
      <c r="L112" s="128">
        <f t="shared" si="6"/>
        <v>3828.6089505960049</v>
      </c>
      <c r="M112" s="125">
        <v>12750.0053906628</v>
      </c>
      <c r="N112" s="128">
        <f t="shared" si="7"/>
        <v>3825.00161719884</v>
      </c>
      <c r="O112" s="125">
        <v>7653.6105677948444</v>
      </c>
      <c r="P112" s="128" t="s">
        <v>414</v>
      </c>
      <c r="Q112" s="122" t="s">
        <v>103</v>
      </c>
      <c r="R112" s="129">
        <v>0</v>
      </c>
    </row>
    <row r="113" spans="1:18" s="122" customFormat="1" x14ac:dyDescent="0.2">
      <c r="A113" s="122" t="s">
        <v>432</v>
      </c>
      <c r="B113" s="123" t="s">
        <v>416</v>
      </c>
      <c r="C113" s="122">
        <v>318638038</v>
      </c>
      <c r="D113" s="124">
        <v>45957</v>
      </c>
      <c r="E113" s="124">
        <v>45551</v>
      </c>
      <c r="F113" s="115">
        <v>4554.2091052183168</v>
      </c>
      <c r="G113" s="115">
        <v>3.2292000000000001</v>
      </c>
      <c r="H113" s="125">
        <v>14706.452042570989</v>
      </c>
      <c r="I113" s="126">
        <v>0.62170000000000003</v>
      </c>
      <c r="J113" s="127">
        <v>0.3</v>
      </c>
      <c r="K113" s="125">
        <v>14706.452042570989</v>
      </c>
      <c r="L113" s="128">
        <f t="shared" si="6"/>
        <v>9143.001234866384</v>
      </c>
      <c r="M113" s="125">
        <v>0</v>
      </c>
      <c r="N113" s="128">
        <f t="shared" si="7"/>
        <v>0</v>
      </c>
      <c r="O113" s="125">
        <v>9143.0012348663859</v>
      </c>
      <c r="P113" s="128" t="s">
        <v>414</v>
      </c>
      <c r="Q113" s="122" t="s">
        <v>103</v>
      </c>
      <c r="R113" s="129">
        <v>0</v>
      </c>
    </row>
    <row r="114" spans="1:18" s="122" customFormat="1" x14ac:dyDescent="0.2">
      <c r="A114" s="122" t="s">
        <v>432</v>
      </c>
      <c r="B114" s="123" t="s">
        <v>416</v>
      </c>
      <c r="C114" s="122">
        <v>318638038</v>
      </c>
      <c r="D114" s="124">
        <v>45957</v>
      </c>
      <c r="E114" s="124">
        <v>45043</v>
      </c>
      <c r="F114" s="115">
        <v>5855.4117067092657</v>
      </c>
      <c r="G114" s="115">
        <v>3.2292000000000001</v>
      </c>
      <c r="H114" s="125">
        <v>18908.295483305563</v>
      </c>
      <c r="I114" s="126">
        <v>0.62170000000000003</v>
      </c>
      <c r="J114" s="127">
        <v>0.3</v>
      </c>
      <c r="K114" s="125">
        <v>6158.290092642761</v>
      </c>
      <c r="L114" s="128">
        <f t="shared" si="6"/>
        <v>3828.6089505960049</v>
      </c>
      <c r="M114" s="125">
        <v>12750.0053906628</v>
      </c>
      <c r="N114" s="128">
        <f t="shared" si="7"/>
        <v>3825.00161719884</v>
      </c>
      <c r="O114" s="125">
        <v>7653.6105677948444</v>
      </c>
      <c r="P114" s="128" t="s">
        <v>414</v>
      </c>
      <c r="Q114" s="122" t="s">
        <v>103</v>
      </c>
      <c r="R114" s="129">
        <v>0</v>
      </c>
    </row>
    <row r="115" spans="1:18" s="122" customFormat="1" x14ac:dyDescent="0.2">
      <c r="A115" s="122" t="s">
        <v>432</v>
      </c>
      <c r="B115" s="123" t="s">
        <v>416</v>
      </c>
      <c r="C115" s="122">
        <v>318638038</v>
      </c>
      <c r="D115" s="124">
        <v>45957</v>
      </c>
      <c r="E115" s="124">
        <v>44630</v>
      </c>
      <c r="F115" s="115">
        <v>12686.725364536742</v>
      </c>
      <c r="G115" s="115">
        <v>3.2292000000000001</v>
      </c>
      <c r="H115" s="125">
        <v>40967.973547162044</v>
      </c>
      <c r="I115" s="126">
        <v>0.62170000000000003</v>
      </c>
      <c r="J115" s="127">
        <v>0.3</v>
      </c>
      <c r="K115" s="125">
        <v>31429.788727715124</v>
      </c>
      <c r="L115" s="128">
        <f t="shared" si="6"/>
        <v>19539.899652020493</v>
      </c>
      <c r="M115" s="125">
        <v>9538.1848194469239</v>
      </c>
      <c r="N115" s="128">
        <f t="shared" si="7"/>
        <v>2861.4554458340772</v>
      </c>
      <c r="O115" s="125">
        <v>22401.355097854568</v>
      </c>
      <c r="P115" s="128" t="s">
        <v>414</v>
      </c>
      <c r="Q115" s="122" t="s">
        <v>103</v>
      </c>
      <c r="R115" s="129">
        <v>0</v>
      </c>
    </row>
    <row r="116" spans="1:18" s="122" customFormat="1" x14ac:dyDescent="0.2">
      <c r="A116" s="122" t="s">
        <v>433</v>
      </c>
      <c r="B116" s="123" t="s">
        <v>413</v>
      </c>
      <c r="C116" s="122">
        <v>201179025</v>
      </c>
      <c r="D116" s="124">
        <v>45939</v>
      </c>
      <c r="E116" s="124">
        <v>45824</v>
      </c>
      <c r="F116" s="115">
        <v>3269.8782920792073</v>
      </c>
      <c r="G116" s="115">
        <v>3.2759999999999998</v>
      </c>
      <c r="H116" s="125">
        <f>F116*G116</f>
        <v>10712.121284851482</v>
      </c>
      <c r="I116" s="126">
        <v>0.62170000000000003</v>
      </c>
      <c r="J116" s="127">
        <v>0.3</v>
      </c>
      <c r="K116" s="125">
        <v>10712.121284851482</v>
      </c>
      <c r="L116" s="128">
        <f t="shared" si="6"/>
        <v>6659.7258027921671</v>
      </c>
      <c r="M116" s="125">
        <v>0</v>
      </c>
      <c r="N116" s="128">
        <f t="shared" si="7"/>
        <v>0</v>
      </c>
      <c r="O116" s="125">
        <v>6659.7258027921671</v>
      </c>
      <c r="P116" s="128" t="s">
        <v>414</v>
      </c>
      <c r="Q116" s="122" t="s">
        <v>194</v>
      </c>
      <c r="R116" s="129">
        <v>0</v>
      </c>
    </row>
    <row r="117" spans="1:18" s="122" customFormat="1" x14ac:dyDescent="0.2">
      <c r="A117" s="122" t="s">
        <v>433</v>
      </c>
      <c r="B117" s="123" t="s">
        <v>413</v>
      </c>
      <c r="C117" s="122">
        <v>201179025</v>
      </c>
      <c r="D117" s="124">
        <v>45958</v>
      </c>
      <c r="E117" s="124">
        <v>45824</v>
      </c>
      <c r="F117" s="115">
        <v>3434.8041991341993</v>
      </c>
      <c r="G117" s="115">
        <v>3.2347999999999999</v>
      </c>
      <c r="H117" s="125">
        <f>F117*G117</f>
        <v>11110.904623359307</v>
      </c>
      <c r="I117" s="126">
        <v>0.62170000000000003</v>
      </c>
      <c r="J117" s="127">
        <v>0.3</v>
      </c>
      <c r="K117" s="125">
        <v>11110.904623359307</v>
      </c>
      <c r="L117" s="128">
        <f t="shared" si="6"/>
        <v>6907.6494043424818</v>
      </c>
      <c r="M117" s="125">
        <v>0</v>
      </c>
      <c r="N117" s="128">
        <f t="shared" si="7"/>
        <v>0</v>
      </c>
      <c r="O117" s="125">
        <v>6907.6494043424818</v>
      </c>
      <c r="P117" s="128" t="s">
        <v>414</v>
      </c>
      <c r="Q117" s="122" t="s">
        <v>194</v>
      </c>
      <c r="R117" s="129">
        <v>0</v>
      </c>
    </row>
    <row r="118" spans="1:18" s="122" customFormat="1" x14ac:dyDescent="0.2">
      <c r="A118" s="122" t="s">
        <v>434</v>
      </c>
      <c r="B118" s="123" t="s">
        <v>416</v>
      </c>
      <c r="C118" s="122">
        <v>314349622</v>
      </c>
      <c r="D118" s="124">
        <v>45932</v>
      </c>
      <c r="E118" s="124">
        <v>45177</v>
      </c>
      <c r="F118" s="115">
        <v>3360.8682310007525</v>
      </c>
      <c r="G118" s="115">
        <v>3.2610999999999999</v>
      </c>
      <c r="H118" s="125">
        <v>10960.127388116554</v>
      </c>
      <c r="I118" s="126">
        <v>0.62170000000000003</v>
      </c>
      <c r="J118" s="127">
        <v>0.3</v>
      </c>
      <c r="K118" s="125">
        <v>5288.4853674665619</v>
      </c>
      <c r="L118" s="128">
        <f t="shared" si="6"/>
        <v>3287.8513529539619</v>
      </c>
      <c r="M118" s="125">
        <v>5671.6420206499915</v>
      </c>
      <c r="N118" s="128">
        <f t="shared" si="7"/>
        <v>1701.4926061949975</v>
      </c>
      <c r="O118" s="125">
        <v>4989.3439591489587</v>
      </c>
      <c r="P118" s="128" t="s">
        <v>414</v>
      </c>
      <c r="Q118" s="122" t="s">
        <v>115</v>
      </c>
      <c r="R118" s="129">
        <v>0</v>
      </c>
    </row>
    <row r="119" spans="1:18" s="122" customFormat="1" x14ac:dyDescent="0.2">
      <c r="A119" s="122" t="s">
        <v>434</v>
      </c>
      <c r="B119" s="123" t="s">
        <v>416</v>
      </c>
      <c r="C119" s="122">
        <v>314349622</v>
      </c>
      <c r="D119" s="124">
        <v>45932</v>
      </c>
      <c r="E119" s="124">
        <v>44753</v>
      </c>
      <c r="F119" s="115">
        <v>19859.675910458991</v>
      </c>
      <c r="G119" s="115">
        <v>3.2610999999999999</v>
      </c>
      <c r="H119" s="125">
        <v>64764.389111597811</v>
      </c>
      <c r="I119" s="126">
        <v>0.62170000000000003</v>
      </c>
      <c r="J119" s="127">
        <v>0.3</v>
      </c>
      <c r="K119" s="125">
        <v>32709.917397687284</v>
      </c>
      <c r="L119" s="128">
        <f t="shared" si="6"/>
        <v>20335.755646142185</v>
      </c>
      <c r="M119" s="125">
        <v>32054.471713910527</v>
      </c>
      <c r="N119" s="128">
        <f t="shared" si="7"/>
        <v>9616.3415141731584</v>
      </c>
      <c r="O119" s="125">
        <v>29952.097160315341</v>
      </c>
      <c r="P119" s="128" t="s">
        <v>414</v>
      </c>
      <c r="Q119" s="122" t="s">
        <v>115</v>
      </c>
      <c r="R119" s="129">
        <v>0</v>
      </c>
    </row>
    <row r="120" spans="1:18" s="122" customFormat="1" x14ac:dyDescent="0.2">
      <c r="A120" s="122" t="s">
        <v>434</v>
      </c>
      <c r="B120" s="123" t="s">
        <v>416</v>
      </c>
      <c r="C120" s="122">
        <v>314349622</v>
      </c>
      <c r="D120" s="124">
        <v>45932</v>
      </c>
      <c r="E120" s="124">
        <v>44753</v>
      </c>
      <c r="F120" s="115">
        <v>19859.675910458991</v>
      </c>
      <c r="G120" s="115">
        <v>3.2610999999999999</v>
      </c>
      <c r="H120" s="125">
        <v>64764.389111597811</v>
      </c>
      <c r="I120" s="126">
        <v>0.62170000000000003</v>
      </c>
      <c r="J120" s="127">
        <v>0.3</v>
      </c>
      <c r="K120" s="125">
        <v>32709.917397687284</v>
      </c>
      <c r="L120" s="128">
        <f t="shared" si="6"/>
        <v>20335.755646142185</v>
      </c>
      <c r="M120" s="125">
        <v>32054.471713910527</v>
      </c>
      <c r="N120" s="128">
        <f t="shared" si="7"/>
        <v>9616.3415141731584</v>
      </c>
      <c r="O120" s="125">
        <v>29952.097160315341</v>
      </c>
      <c r="P120" s="128" t="s">
        <v>414</v>
      </c>
      <c r="Q120" s="122" t="s">
        <v>115</v>
      </c>
      <c r="R120" s="129">
        <v>0</v>
      </c>
    </row>
    <row r="121" spans="1:18" s="122" customFormat="1" x14ac:dyDescent="0.2">
      <c r="A121" s="122" t="s">
        <v>434</v>
      </c>
      <c r="B121" s="123" t="s">
        <v>416</v>
      </c>
      <c r="C121" s="122">
        <v>314349622</v>
      </c>
      <c r="D121" s="124">
        <v>45932</v>
      </c>
      <c r="E121" s="124">
        <v>45177</v>
      </c>
      <c r="F121" s="115">
        <v>3666.4017065462754</v>
      </c>
      <c r="G121" s="115">
        <v>3.2610999999999999</v>
      </c>
      <c r="H121" s="125">
        <v>11956.502605218058</v>
      </c>
      <c r="I121" s="126">
        <v>0.62170000000000003</v>
      </c>
      <c r="J121" s="127">
        <v>0.3</v>
      </c>
      <c r="K121" s="125">
        <v>5769.2567645089766</v>
      </c>
      <c r="L121" s="128">
        <f t="shared" si="6"/>
        <v>3586.746930495231</v>
      </c>
      <c r="M121" s="125">
        <v>6187.2458407090817</v>
      </c>
      <c r="N121" s="128">
        <f t="shared" si="7"/>
        <v>1856.1737522127244</v>
      </c>
      <c r="O121" s="125">
        <v>5442.9206827079561</v>
      </c>
      <c r="P121" s="128" t="s">
        <v>414</v>
      </c>
      <c r="Q121" s="122" t="s">
        <v>115</v>
      </c>
      <c r="R121" s="129">
        <v>0</v>
      </c>
    </row>
    <row r="122" spans="1:18" s="122" customFormat="1" x14ac:dyDescent="0.2">
      <c r="A122" s="122" t="s">
        <v>434</v>
      </c>
      <c r="B122" s="123" t="s">
        <v>416</v>
      </c>
      <c r="C122" s="122">
        <v>314349622</v>
      </c>
      <c r="D122" s="124">
        <v>45932</v>
      </c>
      <c r="E122" s="124">
        <v>45177</v>
      </c>
      <c r="F122" s="115">
        <v>3666.4017065462754</v>
      </c>
      <c r="G122" s="115">
        <v>3.2610999999999999</v>
      </c>
      <c r="H122" s="125">
        <v>11956.502605218058</v>
      </c>
      <c r="I122" s="126">
        <v>0.62170000000000003</v>
      </c>
      <c r="J122" s="127">
        <v>0.3</v>
      </c>
      <c r="K122" s="125">
        <v>5769.2567645089766</v>
      </c>
      <c r="L122" s="128">
        <f t="shared" si="6"/>
        <v>3586.746930495231</v>
      </c>
      <c r="M122" s="125">
        <v>6187.2458407090817</v>
      </c>
      <c r="N122" s="128">
        <f t="shared" si="7"/>
        <v>1856.1737522127244</v>
      </c>
      <c r="O122" s="125">
        <v>5442.9206827079561</v>
      </c>
      <c r="P122" s="128" t="s">
        <v>414</v>
      </c>
      <c r="Q122" s="122" t="s">
        <v>115</v>
      </c>
      <c r="R122" s="129">
        <v>0</v>
      </c>
    </row>
    <row r="123" spans="1:18" s="122" customFormat="1" x14ac:dyDescent="0.2">
      <c r="A123" s="122" t="s">
        <v>434</v>
      </c>
      <c r="B123" s="123" t="s">
        <v>416</v>
      </c>
      <c r="C123" s="122">
        <v>314349622</v>
      </c>
      <c r="D123" s="124">
        <v>45932</v>
      </c>
      <c r="E123" s="124">
        <v>45177</v>
      </c>
      <c r="F123" s="115">
        <v>3666.4017065462754</v>
      </c>
      <c r="G123" s="115">
        <v>3.2610999999999999</v>
      </c>
      <c r="H123" s="125">
        <v>11956.502605218058</v>
      </c>
      <c r="I123" s="126">
        <v>0.62170000000000003</v>
      </c>
      <c r="J123" s="127">
        <v>0.3</v>
      </c>
      <c r="K123" s="125">
        <v>5769.2567645089766</v>
      </c>
      <c r="L123" s="128">
        <f t="shared" si="6"/>
        <v>3586.746930495231</v>
      </c>
      <c r="M123" s="125">
        <v>6187.2458407090817</v>
      </c>
      <c r="N123" s="128">
        <f t="shared" si="7"/>
        <v>1856.1737522127244</v>
      </c>
      <c r="O123" s="125">
        <v>5442.9206827079561</v>
      </c>
      <c r="P123" s="128" t="s">
        <v>414</v>
      </c>
      <c r="Q123" s="122" t="s">
        <v>115</v>
      </c>
      <c r="R123" s="129">
        <v>0</v>
      </c>
    </row>
    <row r="124" spans="1:18" s="122" customFormat="1" x14ac:dyDescent="0.2">
      <c r="A124" s="122" t="s">
        <v>434</v>
      </c>
      <c r="B124" s="123" t="s">
        <v>416</v>
      </c>
      <c r="C124" s="122">
        <v>314349622</v>
      </c>
      <c r="D124" s="124">
        <v>45932</v>
      </c>
      <c r="E124" s="124">
        <v>44753</v>
      </c>
      <c r="F124" s="115">
        <v>19859.675910458991</v>
      </c>
      <c r="G124" s="115">
        <v>3.2610999999999999</v>
      </c>
      <c r="H124" s="125">
        <v>64764.389111597811</v>
      </c>
      <c r="I124" s="126">
        <v>0.62170000000000003</v>
      </c>
      <c r="J124" s="127">
        <v>0.3</v>
      </c>
      <c r="K124" s="125">
        <v>32709.917397687284</v>
      </c>
      <c r="L124" s="128">
        <f t="shared" si="6"/>
        <v>20335.755646142185</v>
      </c>
      <c r="M124" s="125">
        <v>32054.471713910527</v>
      </c>
      <c r="N124" s="128">
        <f t="shared" si="7"/>
        <v>9616.3415141731584</v>
      </c>
      <c r="O124" s="125">
        <v>29952.097160315341</v>
      </c>
      <c r="P124" s="128" t="s">
        <v>414</v>
      </c>
      <c r="Q124" s="122" t="s">
        <v>115</v>
      </c>
      <c r="R124" s="129">
        <v>0</v>
      </c>
    </row>
    <row r="125" spans="1:18" s="122" customFormat="1" x14ac:dyDescent="0.2">
      <c r="A125" s="122" t="s">
        <v>434</v>
      </c>
      <c r="B125" s="123" t="s">
        <v>416</v>
      </c>
      <c r="C125" s="122">
        <v>314349622</v>
      </c>
      <c r="D125" s="124">
        <v>45932</v>
      </c>
      <c r="E125" s="124">
        <v>44753</v>
      </c>
      <c r="F125" s="115">
        <v>19859.675910458991</v>
      </c>
      <c r="G125" s="115">
        <v>3.2610999999999999</v>
      </c>
      <c r="H125" s="125">
        <v>64764.389111597811</v>
      </c>
      <c r="I125" s="126">
        <v>0.62170000000000003</v>
      </c>
      <c r="J125" s="127">
        <v>0.3</v>
      </c>
      <c r="K125" s="125">
        <v>32709.917397687284</v>
      </c>
      <c r="L125" s="128">
        <f t="shared" si="6"/>
        <v>20335.755646142185</v>
      </c>
      <c r="M125" s="125">
        <v>32054.471713910527</v>
      </c>
      <c r="N125" s="128">
        <f t="shared" si="7"/>
        <v>9616.3415141731584</v>
      </c>
      <c r="O125" s="125">
        <v>29952.097160315341</v>
      </c>
      <c r="P125" s="128" t="s">
        <v>414</v>
      </c>
      <c r="Q125" s="122" t="s">
        <v>115</v>
      </c>
      <c r="R125" s="129">
        <v>0</v>
      </c>
    </row>
    <row r="126" spans="1:18" s="122" customFormat="1" x14ac:dyDescent="0.2">
      <c r="A126" s="122" t="s">
        <v>434</v>
      </c>
      <c r="B126" s="123" t="s">
        <v>416</v>
      </c>
      <c r="C126" s="122">
        <v>314349622</v>
      </c>
      <c r="D126" s="124">
        <v>45932</v>
      </c>
      <c r="E126" s="124">
        <v>44753</v>
      </c>
      <c r="F126" s="115">
        <v>19859.675910458991</v>
      </c>
      <c r="G126" s="115">
        <v>3.2610999999999999</v>
      </c>
      <c r="H126" s="125">
        <v>64764.389111597811</v>
      </c>
      <c r="I126" s="126">
        <v>0.62170000000000003</v>
      </c>
      <c r="J126" s="127">
        <v>0.3</v>
      </c>
      <c r="K126" s="125">
        <v>32709.917397687284</v>
      </c>
      <c r="L126" s="128">
        <f t="shared" si="6"/>
        <v>20335.755646142185</v>
      </c>
      <c r="M126" s="125">
        <v>32054.471713910527</v>
      </c>
      <c r="N126" s="128">
        <f t="shared" si="7"/>
        <v>9616.3415141731584</v>
      </c>
      <c r="O126" s="125">
        <v>29952.097160315341</v>
      </c>
      <c r="P126" s="128" t="s">
        <v>414</v>
      </c>
      <c r="Q126" s="122" t="s">
        <v>115</v>
      </c>
      <c r="R126" s="129">
        <v>0</v>
      </c>
    </row>
    <row r="127" spans="1:18" s="122" customFormat="1" x14ac:dyDescent="0.2">
      <c r="A127" s="122" t="s">
        <v>434</v>
      </c>
      <c r="B127" s="123" t="s">
        <v>416</v>
      </c>
      <c r="C127" s="122">
        <v>314349622</v>
      </c>
      <c r="D127" s="124">
        <v>45932</v>
      </c>
      <c r="E127" s="124">
        <v>45177</v>
      </c>
      <c r="F127" s="115">
        <v>3666.4017065462754</v>
      </c>
      <c r="G127" s="115">
        <v>3.2610999999999999</v>
      </c>
      <c r="H127" s="125">
        <v>11956.502605218058</v>
      </c>
      <c r="I127" s="126">
        <v>0.62170000000000003</v>
      </c>
      <c r="J127" s="127">
        <v>0.3</v>
      </c>
      <c r="K127" s="125">
        <v>5769.2567645089766</v>
      </c>
      <c r="L127" s="128">
        <f t="shared" si="6"/>
        <v>3586.746930495231</v>
      </c>
      <c r="M127" s="125">
        <v>6187.2458407090817</v>
      </c>
      <c r="N127" s="128">
        <f t="shared" si="7"/>
        <v>1856.1737522127244</v>
      </c>
      <c r="O127" s="125">
        <v>5442.9206827079561</v>
      </c>
      <c r="P127" s="128" t="s">
        <v>414</v>
      </c>
      <c r="Q127" s="122" t="s">
        <v>115</v>
      </c>
      <c r="R127" s="129">
        <v>0</v>
      </c>
    </row>
    <row r="128" spans="1:18" s="122" customFormat="1" x14ac:dyDescent="0.2">
      <c r="A128" s="122" t="s">
        <v>434</v>
      </c>
      <c r="B128" s="123" t="s">
        <v>416</v>
      </c>
      <c r="C128" s="122">
        <v>314349622</v>
      </c>
      <c r="D128" s="124">
        <v>45932</v>
      </c>
      <c r="E128" s="124">
        <v>45043</v>
      </c>
      <c r="F128" s="115">
        <v>4583.0021331828439</v>
      </c>
      <c r="G128" s="115">
        <v>3.2610999999999999</v>
      </c>
      <c r="H128" s="125">
        <v>14945.628256522572</v>
      </c>
      <c r="I128" s="126">
        <v>0.62170000000000003</v>
      </c>
      <c r="J128" s="127">
        <v>0.3</v>
      </c>
      <c r="K128" s="125">
        <v>5184.2102130643252</v>
      </c>
      <c r="L128" s="128">
        <f t="shared" si="6"/>
        <v>3223.0234894620912</v>
      </c>
      <c r="M128" s="125">
        <v>9761.4180434582468</v>
      </c>
      <c r="N128" s="128">
        <f t="shared" si="7"/>
        <v>2928.4254130374738</v>
      </c>
      <c r="O128" s="125">
        <v>6151.4489024995646</v>
      </c>
      <c r="P128" s="128" t="s">
        <v>414</v>
      </c>
      <c r="Q128" s="122" t="s">
        <v>115</v>
      </c>
      <c r="R128" s="129">
        <v>0</v>
      </c>
    </row>
    <row r="129" spans="1:18" s="122" customFormat="1" x14ac:dyDescent="0.2">
      <c r="A129" s="122" t="s">
        <v>434</v>
      </c>
      <c r="B129" s="123" t="s">
        <v>416</v>
      </c>
      <c r="C129" s="122">
        <v>314349622</v>
      </c>
      <c r="D129" s="124">
        <v>45932</v>
      </c>
      <c r="E129" s="124">
        <v>44753</v>
      </c>
      <c r="F129" s="115">
        <v>19859.675910458991</v>
      </c>
      <c r="G129" s="115">
        <v>3.2610999999999999</v>
      </c>
      <c r="H129" s="125">
        <v>64764.389111597811</v>
      </c>
      <c r="I129" s="126">
        <v>0.62170000000000003</v>
      </c>
      <c r="J129" s="127">
        <v>0.3</v>
      </c>
      <c r="K129" s="125">
        <v>32709.917397687284</v>
      </c>
      <c r="L129" s="128">
        <f t="shared" si="6"/>
        <v>20335.755646142185</v>
      </c>
      <c r="M129" s="125">
        <v>32054.471713910527</v>
      </c>
      <c r="N129" s="128">
        <f t="shared" si="7"/>
        <v>9616.3415141731584</v>
      </c>
      <c r="O129" s="125">
        <v>29952.097160315341</v>
      </c>
      <c r="P129" s="128" t="s">
        <v>414</v>
      </c>
      <c r="Q129" s="122" t="s">
        <v>115</v>
      </c>
      <c r="R129" s="129">
        <v>0</v>
      </c>
    </row>
    <row r="130" spans="1:18" s="122" customFormat="1" x14ac:dyDescent="0.2">
      <c r="A130" s="122" t="s">
        <v>434</v>
      </c>
      <c r="B130" s="123" t="s">
        <v>416</v>
      </c>
      <c r="C130" s="122">
        <v>314349622</v>
      </c>
      <c r="D130" s="124">
        <v>45932</v>
      </c>
      <c r="E130" s="124">
        <v>45043</v>
      </c>
      <c r="F130" s="115">
        <v>4583.0021331828439</v>
      </c>
      <c r="G130" s="115">
        <v>3.2610999999999999</v>
      </c>
      <c r="H130" s="125">
        <v>14945.628256522572</v>
      </c>
      <c r="I130" s="126">
        <v>0.62170000000000003</v>
      </c>
      <c r="J130" s="127">
        <v>0.3</v>
      </c>
      <c r="K130" s="125">
        <v>5184.2102130643252</v>
      </c>
      <c r="L130" s="128">
        <f t="shared" ref="L130:L161" si="8">I130*K130</f>
        <v>3223.0234894620912</v>
      </c>
      <c r="M130" s="125">
        <v>9761.4180434582468</v>
      </c>
      <c r="N130" s="128">
        <f t="shared" ref="N130:N161" si="9">M130*J130</f>
        <v>2928.4254130374738</v>
      </c>
      <c r="O130" s="125">
        <v>6151.4489024995646</v>
      </c>
      <c r="P130" s="128" t="s">
        <v>414</v>
      </c>
      <c r="Q130" s="122" t="s">
        <v>115</v>
      </c>
      <c r="R130" s="129">
        <v>0</v>
      </c>
    </row>
    <row r="131" spans="1:18" s="122" customFormat="1" x14ac:dyDescent="0.2">
      <c r="A131" s="122" t="s">
        <v>434</v>
      </c>
      <c r="B131" s="123" t="s">
        <v>416</v>
      </c>
      <c r="C131" s="122">
        <v>314349622</v>
      </c>
      <c r="D131" s="124">
        <v>45932</v>
      </c>
      <c r="E131" s="124">
        <v>45177</v>
      </c>
      <c r="F131" s="115">
        <v>3666.4017065462754</v>
      </c>
      <c r="G131" s="115">
        <v>3.2610999999999999</v>
      </c>
      <c r="H131" s="125">
        <v>11956.502605218058</v>
      </c>
      <c r="I131" s="126">
        <v>0.62170000000000003</v>
      </c>
      <c r="J131" s="127">
        <v>0.3</v>
      </c>
      <c r="K131" s="125">
        <v>5769.2567645089766</v>
      </c>
      <c r="L131" s="128">
        <f t="shared" si="8"/>
        <v>3586.746930495231</v>
      </c>
      <c r="M131" s="125">
        <v>6187.2458407090817</v>
      </c>
      <c r="N131" s="128">
        <f t="shared" si="9"/>
        <v>1856.1737522127244</v>
      </c>
      <c r="O131" s="125">
        <v>5442.9206827079561</v>
      </c>
      <c r="P131" s="128" t="s">
        <v>414</v>
      </c>
      <c r="Q131" s="122" t="s">
        <v>115</v>
      </c>
      <c r="R131" s="129">
        <v>0</v>
      </c>
    </row>
    <row r="132" spans="1:18" s="122" customFormat="1" x14ac:dyDescent="0.2">
      <c r="A132" s="122" t="s">
        <v>434</v>
      </c>
      <c r="B132" s="123" t="s">
        <v>416</v>
      </c>
      <c r="C132" s="122">
        <v>314349622</v>
      </c>
      <c r="D132" s="124">
        <v>45932</v>
      </c>
      <c r="E132" s="124">
        <v>45177</v>
      </c>
      <c r="F132" s="115">
        <v>3666.4017065462754</v>
      </c>
      <c r="G132" s="115">
        <v>3.2610999999999999</v>
      </c>
      <c r="H132" s="125">
        <v>11956.502605218058</v>
      </c>
      <c r="I132" s="126">
        <v>0.62170000000000003</v>
      </c>
      <c r="J132" s="127">
        <v>0.3</v>
      </c>
      <c r="K132" s="125">
        <v>5769.2567645089766</v>
      </c>
      <c r="L132" s="128">
        <f t="shared" si="8"/>
        <v>3586.746930495231</v>
      </c>
      <c r="M132" s="125">
        <v>6187.2458407090817</v>
      </c>
      <c r="N132" s="128">
        <f t="shared" si="9"/>
        <v>1856.1737522127244</v>
      </c>
      <c r="O132" s="125">
        <v>5442.9206827079561</v>
      </c>
      <c r="P132" s="128" t="s">
        <v>414</v>
      </c>
      <c r="Q132" s="122" t="s">
        <v>115</v>
      </c>
      <c r="R132" s="129">
        <v>0</v>
      </c>
    </row>
    <row r="133" spans="1:18" s="122" customFormat="1" x14ac:dyDescent="0.2">
      <c r="A133" s="122" t="s">
        <v>435</v>
      </c>
      <c r="B133" s="123" t="s">
        <v>413</v>
      </c>
      <c r="C133" s="122">
        <v>301380788</v>
      </c>
      <c r="D133" s="124">
        <v>45943</v>
      </c>
      <c r="E133" s="124">
        <v>45460</v>
      </c>
      <c r="F133" s="115">
        <v>12804.298083462134</v>
      </c>
      <c r="G133" s="115">
        <v>3.2759999999999998</v>
      </c>
      <c r="H133" s="125">
        <f>F133*G133</f>
        <v>41946.880521421946</v>
      </c>
      <c r="I133" s="126">
        <v>0.62170000000000003</v>
      </c>
      <c r="J133" s="127">
        <v>0.3</v>
      </c>
      <c r="K133" s="125">
        <v>41946.880521421946</v>
      </c>
      <c r="L133" s="128">
        <f t="shared" si="8"/>
        <v>26078.375620168026</v>
      </c>
      <c r="M133" s="125">
        <v>0</v>
      </c>
      <c r="N133" s="128">
        <f t="shared" si="9"/>
        <v>0</v>
      </c>
      <c r="O133" s="125">
        <v>26078.375620168026</v>
      </c>
      <c r="P133" s="128" t="s">
        <v>424</v>
      </c>
      <c r="Q133" s="122" t="s">
        <v>204</v>
      </c>
      <c r="R133" s="129">
        <v>0</v>
      </c>
    </row>
    <row r="134" spans="1:18" s="122" customFormat="1" x14ac:dyDescent="0.2">
      <c r="A134" s="122" t="s">
        <v>436</v>
      </c>
      <c r="B134" s="123" t="s">
        <v>413</v>
      </c>
      <c r="C134" s="122">
        <v>11629599</v>
      </c>
      <c r="D134" s="124">
        <v>45940</v>
      </c>
      <c r="E134" s="124">
        <v>45824</v>
      </c>
      <c r="F134" s="115">
        <v>10284.844963214837</v>
      </c>
      <c r="G134" s="115">
        <v>3.2759999999999998</v>
      </c>
      <c r="H134" s="125">
        <f>F134*G134</f>
        <v>33693.152099491803</v>
      </c>
      <c r="I134" s="126">
        <v>0.62170000000000003</v>
      </c>
      <c r="J134" s="127">
        <v>0.3</v>
      </c>
      <c r="K134" s="125">
        <v>33693.152099491803</v>
      </c>
      <c r="L134" s="128">
        <f t="shared" si="8"/>
        <v>20947.032660254055</v>
      </c>
      <c r="M134" s="125">
        <v>0</v>
      </c>
      <c r="N134" s="128">
        <f t="shared" si="9"/>
        <v>0</v>
      </c>
      <c r="O134" s="125">
        <v>20947.032660254055</v>
      </c>
      <c r="P134" s="128" t="s">
        <v>414</v>
      </c>
      <c r="Q134" s="122" t="s">
        <v>156</v>
      </c>
      <c r="R134" s="129">
        <v>0</v>
      </c>
    </row>
    <row r="135" spans="1:18" s="122" customFormat="1" x14ac:dyDescent="0.2">
      <c r="A135" s="122" t="s">
        <v>437</v>
      </c>
      <c r="B135" s="123" t="s">
        <v>416</v>
      </c>
      <c r="C135" s="122">
        <v>304332992</v>
      </c>
      <c r="D135" s="124">
        <v>45953</v>
      </c>
      <c r="E135" s="124">
        <v>45177</v>
      </c>
      <c r="F135" s="115">
        <v>8492.0387264150941</v>
      </c>
      <c r="G135" s="115">
        <v>3.2347999999999999</v>
      </c>
      <c r="H135" s="125">
        <v>27470.046872207546</v>
      </c>
      <c r="I135" s="126">
        <v>0.62170000000000003</v>
      </c>
      <c r="J135" s="127">
        <v>0.3</v>
      </c>
      <c r="K135" s="125">
        <v>12874.959346994301</v>
      </c>
      <c r="L135" s="128">
        <f t="shared" si="8"/>
        <v>8004.3622260263573</v>
      </c>
      <c r="M135" s="125">
        <v>14595.087525213243</v>
      </c>
      <c r="N135" s="128">
        <f t="shared" si="9"/>
        <v>4378.5262575639726</v>
      </c>
      <c r="O135" s="125">
        <v>12382.88848359033</v>
      </c>
      <c r="P135" s="128" t="s">
        <v>414</v>
      </c>
      <c r="Q135" s="122" t="s">
        <v>148</v>
      </c>
      <c r="R135" s="129">
        <v>0</v>
      </c>
    </row>
    <row r="136" spans="1:18" s="122" customFormat="1" x14ac:dyDescent="0.2">
      <c r="A136" s="122" t="s">
        <v>437</v>
      </c>
      <c r="B136" s="123" t="s">
        <v>416</v>
      </c>
      <c r="C136" s="122">
        <v>304332992</v>
      </c>
      <c r="D136" s="124">
        <v>45953</v>
      </c>
      <c r="E136" s="124">
        <v>45177</v>
      </c>
      <c r="F136" s="115">
        <v>8492.0387264150941</v>
      </c>
      <c r="G136" s="115">
        <v>3.2347999999999999</v>
      </c>
      <c r="H136" s="125">
        <v>27470.046872207546</v>
      </c>
      <c r="I136" s="126">
        <v>0.62170000000000003</v>
      </c>
      <c r="J136" s="127">
        <v>0.3</v>
      </c>
      <c r="K136" s="125">
        <v>12874.959346994301</v>
      </c>
      <c r="L136" s="128">
        <f t="shared" si="8"/>
        <v>8004.3622260263573</v>
      </c>
      <c r="M136" s="125">
        <v>14595.087525213243</v>
      </c>
      <c r="N136" s="128">
        <f t="shared" si="9"/>
        <v>4378.5262575639726</v>
      </c>
      <c r="O136" s="125">
        <v>12382.88848359033</v>
      </c>
      <c r="P136" s="128" t="s">
        <v>414</v>
      </c>
      <c r="Q136" s="122" t="s">
        <v>148</v>
      </c>
      <c r="R136" s="129">
        <v>0</v>
      </c>
    </row>
    <row r="137" spans="1:18" s="122" customFormat="1" x14ac:dyDescent="0.2">
      <c r="A137" s="122" t="s">
        <v>437</v>
      </c>
      <c r="B137" s="123" t="s">
        <v>416</v>
      </c>
      <c r="C137" s="122">
        <v>304332992</v>
      </c>
      <c r="D137" s="124">
        <v>45953</v>
      </c>
      <c r="E137" s="124">
        <v>45177</v>
      </c>
      <c r="F137" s="115">
        <v>8492.0387264150941</v>
      </c>
      <c r="G137" s="115">
        <v>3.2347999999999999</v>
      </c>
      <c r="H137" s="125">
        <v>27470.046872207546</v>
      </c>
      <c r="I137" s="126">
        <v>0.62170000000000003</v>
      </c>
      <c r="J137" s="127">
        <v>0.3</v>
      </c>
      <c r="K137" s="125">
        <v>12874.959346994301</v>
      </c>
      <c r="L137" s="128">
        <f t="shared" si="8"/>
        <v>8004.3622260263573</v>
      </c>
      <c r="M137" s="125">
        <v>14595.087525213243</v>
      </c>
      <c r="N137" s="128">
        <f t="shared" si="9"/>
        <v>4378.5262575639726</v>
      </c>
      <c r="O137" s="125">
        <v>12382.88848359033</v>
      </c>
      <c r="P137" s="128" t="s">
        <v>414</v>
      </c>
      <c r="Q137" s="122" t="s">
        <v>148</v>
      </c>
      <c r="R137" s="129">
        <v>0</v>
      </c>
    </row>
    <row r="138" spans="1:18" s="122" customFormat="1" x14ac:dyDescent="0.2">
      <c r="A138" s="122" t="s">
        <v>437</v>
      </c>
      <c r="B138" s="123" t="s">
        <v>416</v>
      </c>
      <c r="C138" s="122">
        <v>304332992</v>
      </c>
      <c r="D138" s="124">
        <v>45953</v>
      </c>
      <c r="E138" s="124">
        <v>45177</v>
      </c>
      <c r="F138" s="115">
        <v>8492.0387264150941</v>
      </c>
      <c r="G138" s="115">
        <v>3.2347999999999999</v>
      </c>
      <c r="H138" s="125">
        <v>27470.046872207546</v>
      </c>
      <c r="I138" s="126">
        <v>0.62170000000000003</v>
      </c>
      <c r="J138" s="127">
        <v>0.3</v>
      </c>
      <c r="K138" s="125">
        <v>12874.959346994301</v>
      </c>
      <c r="L138" s="128">
        <f t="shared" si="8"/>
        <v>8004.3622260263573</v>
      </c>
      <c r="M138" s="125">
        <v>14595.087525213243</v>
      </c>
      <c r="N138" s="128">
        <f t="shared" si="9"/>
        <v>4378.5262575639726</v>
      </c>
      <c r="O138" s="125">
        <v>12382.88848359033</v>
      </c>
      <c r="P138" s="128" t="s">
        <v>414</v>
      </c>
      <c r="Q138" s="122" t="s">
        <v>148</v>
      </c>
      <c r="R138" s="129">
        <v>0</v>
      </c>
    </row>
    <row r="139" spans="1:18" s="122" customFormat="1" x14ac:dyDescent="0.2">
      <c r="A139" s="122" t="s">
        <v>437</v>
      </c>
      <c r="B139" s="123" t="s">
        <v>416</v>
      </c>
      <c r="C139" s="122">
        <v>304332992</v>
      </c>
      <c r="D139" s="124">
        <v>45953</v>
      </c>
      <c r="E139" s="124">
        <v>45177</v>
      </c>
      <c r="F139" s="115">
        <v>8492.0387264150941</v>
      </c>
      <c r="G139" s="115">
        <v>3.2347999999999999</v>
      </c>
      <c r="H139" s="125">
        <v>27470.046872207546</v>
      </c>
      <c r="I139" s="126">
        <v>0.62170000000000003</v>
      </c>
      <c r="J139" s="127">
        <v>0.3</v>
      </c>
      <c r="K139" s="125">
        <v>12874.959346994301</v>
      </c>
      <c r="L139" s="128">
        <f t="shared" si="8"/>
        <v>8004.3622260263573</v>
      </c>
      <c r="M139" s="125">
        <v>14595.087525213243</v>
      </c>
      <c r="N139" s="128">
        <f t="shared" si="9"/>
        <v>4378.5262575639726</v>
      </c>
      <c r="O139" s="125">
        <v>12382.88848359033</v>
      </c>
      <c r="P139" s="128" t="s">
        <v>414</v>
      </c>
      <c r="Q139" s="122" t="s">
        <v>148</v>
      </c>
      <c r="R139" s="129">
        <v>0</v>
      </c>
    </row>
    <row r="140" spans="1:18" s="122" customFormat="1" x14ac:dyDescent="0.2">
      <c r="A140" s="122" t="s">
        <v>437</v>
      </c>
      <c r="B140" s="123" t="s">
        <v>416</v>
      </c>
      <c r="C140" s="122">
        <v>304332992</v>
      </c>
      <c r="D140" s="124">
        <v>45953</v>
      </c>
      <c r="E140" s="124">
        <v>45177</v>
      </c>
      <c r="F140" s="115">
        <v>8492.0387264150941</v>
      </c>
      <c r="G140" s="115">
        <v>3.2347999999999999</v>
      </c>
      <c r="H140" s="125">
        <v>27470.046872207546</v>
      </c>
      <c r="I140" s="126">
        <v>0.62170000000000003</v>
      </c>
      <c r="J140" s="127">
        <v>0.3</v>
      </c>
      <c r="K140" s="125">
        <v>12874.959346994301</v>
      </c>
      <c r="L140" s="128">
        <f t="shared" si="8"/>
        <v>8004.3622260263573</v>
      </c>
      <c r="M140" s="125">
        <v>14595.087525213243</v>
      </c>
      <c r="N140" s="128">
        <f t="shared" si="9"/>
        <v>4378.5262575639726</v>
      </c>
      <c r="O140" s="125">
        <v>12382.88848359033</v>
      </c>
      <c r="P140" s="128" t="s">
        <v>414</v>
      </c>
      <c r="Q140" s="122" t="s">
        <v>148</v>
      </c>
      <c r="R140" s="129">
        <v>0</v>
      </c>
    </row>
    <row r="141" spans="1:18" s="122" customFormat="1" x14ac:dyDescent="0.2">
      <c r="A141" s="122" t="s">
        <v>437</v>
      </c>
      <c r="B141" s="123" t="s">
        <v>416</v>
      </c>
      <c r="C141" s="122">
        <v>304332992</v>
      </c>
      <c r="D141" s="124">
        <v>45961</v>
      </c>
      <c r="E141" s="124">
        <v>45043</v>
      </c>
      <c r="F141" s="115">
        <v>7249.000927119484</v>
      </c>
      <c r="G141" s="115">
        <v>3.2515999999999998</v>
      </c>
      <c r="H141" s="125">
        <v>23570.851414621713</v>
      </c>
      <c r="I141" s="126">
        <v>0.62170000000000003</v>
      </c>
      <c r="J141" s="127">
        <v>0.3</v>
      </c>
      <c r="K141" s="125">
        <v>7578.9666583207845</v>
      </c>
      <c r="L141" s="128">
        <f t="shared" si="8"/>
        <v>4711.8435714780317</v>
      </c>
      <c r="M141" s="125">
        <v>15991.884756300928</v>
      </c>
      <c r="N141" s="128">
        <f t="shared" si="9"/>
        <v>4797.5654268902781</v>
      </c>
      <c r="O141" s="125">
        <v>9509.4089983683098</v>
      </c>
      <c r="P141" s="128" t="s">
        <v>414</v>
      </c>
      <c r="Q141" s="122" t="s">
        <v>148</v>
      </c>
      <c r="R141" s="129">
        <v>0</v>
      </c>
    </row>
    <row r="142" spans="1:18" s="122" customFormat="1" x14ac:dyDescent="0.2">
      <c r="A142" s="122" t="s">
        <v>437</v>
      </c>
      <c r="B142" s="123" t="s">
        <v>416</v>
      </c>
      <c r="C142" s="122">
        <v>304332992</v>
      </c>
      <c r="D142" s="124">
        <v>45961</v>
      </c>
      <c r="E142" s="124">
        <v>45177</v>
      </c>
      <c r="F142" s="115">
        <v>8896.501137828458</v>
      </c>
      <c r="G142" s="115">
        <v>3.2515999999999998</v>
      </c>
      <c r="H142" s="125">
        <v>28927.863099763013</v>
      </c>
      <c r="I142" s="126">
        <v>0.62170000000000003</v>
      </c>
      <c r="J142" s="127">
        <v>0.3</v>
      </c>
      <c r="K142" s="125">
        <v>12940.077688799929</v>
      </c>
      <c r="L142" s="128">
        <f t="shared" si="8"/>
        <v>8044.8462991269162</v>
      </c>
      <c r="M142" s="125">
        <v>15987.785410963083</v>
      </c>
      <c r="N142" s="128">
        <f t="shared" si="9"/>
        <v>4796.3356232889246</v>
      </c>
      <c r="O142" s="125">
        <v>12841.181922415843</v>
      </c>
      <c r="P142" s="128" t="s">
        <v>414</v>
      </c>
      <c r="Q142" s="122" t="s">
        <v>148</v>
      </c>
      <c r="R142" s="129">
        <v>0</v>
      </c>
    </row>
    <row r="143" spans="1:18" s="122" customFormat="1" x14ac:dyDescent="0.2">
      <c r="A143" s="122" t="s">
        <v>437</v>
      </c>
      <c r="B143" s="123" t="s">
        <v>416</v>
      </c>
      <c r="C143" s="122">
        <v>304332992</v>
      </c>
      <c r="D143" s="124">
        <v>45961</v>
      </c>
      <c r="E143" s="124">
        <v>44844</v>
      </c>
      <c r="F143" s="115">
        <v>32291.004129895886</v>
      </c>
      <c r="G143" s="115">
        <v>3.2515999999999998</v>
      </c>
      <c r="H143" s="125">
        <v>104997.42902876946</v>
      </c>
      <c r="I143" s="126">
        <v>0.62170000000000003</v>
      </c>
      <c r="J143" s="127">
        <v>0.3</v>
      </c>
      <c r="K143" s="125">
        <v>53065.505616364528</v>
      </c>
      <c r="L143" s="128">
        <f t="shared" si="8"/>
        <v>32990.82484169383</v>
      </c>
      <c r="M143" s="125">
        <v>51931.923412404933</v>
      </c>
      <c r="N143" s="128">
        <f t="shared" si="9"/>
        <v>15579.577023721478</v>
      </c>
      <c r="O143" s="125">
        <v>48570.401865415311</v>
      </c>
      <c r="P143" s="128" t="s">
        <v>414</v>
      </c>
      <c r="Q143" s="122" t="s">
        <v>148</v>
      </c>
      <c r="R143" s="129">
        <v>0</v>
      </c>
    </row>
    <row r="144" spans="1:18" s="122" customFormat="1" x14ac:dyDescent="0.2">
      <c r="A144" s="122" t="s">
        <v>437</v>
      </c>
      <c r="B144" s="123" t="s">
        <v>416</v>
      </c>
      <c r="C144" s="122">
        <v>304332992</v>
      </c>
      <c r="D144" s="124">
        <v>45961</v>
      </c>
      <c r="E144" s="124">
        <v>45177</v>
      </c>
      <c r="F144" s="115">
        <v>8896.501137828458</v>
      </c>
      <c r="G144" s="115">
        <v>3.2515999999999998</v>
      </c>
      <c r="H144" s="125">
        <v>28927.863099763013</v>
      </c>
      <c r="I144" s="126">
        <v>0.62170000000000003</v>
      </c>
      <c r="J144" s="127">
        <v>0.3</v>
      </c>
      <c r="K144" s="125">
        <v>12940.077688799929</v>
      </c>
      <c r="L144" s="128">
        <f t="shared" si="8"/>
        <v>8044.8462991269162</v>
      </c>
      <c r="M144" s="125">
        <v>15987.785410963083</v>
      </c>
      <c r="N144" s="128">
        <f t="shared" si="9"/>
        <v>4796.3356232889246</v>
      </c>
      <c r="O144" s="125">
        <v>12841.181922415843</v>
      </c>
      <c r="P144" s="128" t="s">
        <v>414</v>
      </c>
      <c r="Q144" s="122" t="s">
        <v>148</v>
      </c>
      <c r="R144" s="129">
        <v>0</v>
      </c>
    </row>
    <row r="145" spans="1:18" s="122" customFormat="1" x14ac:dyDescent="0.2">
      <c r="A145" s="122" t="s">
        <v>438</v>
      </c>
      <c r="B145" s="123" t="s">
        <v>416</v>
      </c>
      <c r="C145" s="122">
        <v>38075941</v>
      </c>
      <c r="D145" s="124">
        <v>45936</v>
      </c>
      <c r="E145" s="124">
        <v>45043</v>
      </c>
      <c r="F145" s="115">
        <v>8666.6782758620684</v>
      </c>
      <c r="G145" s="115">
        <v>3.2722000000000002</v>
      </c>
      <c r="H145" s="125">
        <v>28359.104654275863</v>
      </c>
      <c r="I145" s="126">
        <v>0.62170000000000003</v>
      </c>
      <c r="J145" s="127">
        <v>0.3</v>
      </c>
      <c r="K145" s="125">
        <v>9709.2836041983992</v>
      </c>
      <c r="L145" s="128">
        <f t="shared" si="8"/>
        <v>6036.2616167301449</v>
      </c>
      <c r="M145" s="125">
        <v>18649.821050077462</v>
      </c>
      <c r="N145" s="128">
        <f t="shared" si="9"/>
        <v>5594.9463150232386</v>
      </c>
      <c r="O145" s="125">
        <v>11631.207931753383</v>
      </c>
      <c r="P145" s="128" t="s">
        <v>414</v>
      </c>
      <c r="Q145" s="122" t="s">
        <v>64</v>
      </c>
      <c r="R145" s="129">
        <v>0</v>
      </c>
    </row>
    <row r="146" spans="1:18" s="122" customFormat="1" x14ac:dyDescent="0.2">
      <c r="A146" s="122" t="s">
        <v>438</v>
      </c>
      <c r="B146" s="123" t="s">
        <v>416</v>
      </c>
      <c r="C146" s="122">
        <v>38075941</v>
      </c>
      <c r="D146" s="124">
        <v>45936</v>
      </c>
      <c r="E146" s="124">
        <v>45043</v>
      </c>
      <c r="F146" s="115">
        <v>8357.1540517241374</v>
      </c>
      <c r="G146" s="115">
        <v>3.2722000000000002</v>
      </c>
      <c r="H146" s="125">
        <v>27346.279488051725</v>
      </c>
      <c r="I146" s="126">
        <v>0.62170000000000003</v>
      </c>
      <c r="J146" s="127">
        <v>0.3</v>
      </c>
      <c r="K146" s="125">
        <v>9362.5234754770281</v>
      </c>
      <c r="L146" s="128">
        <f t="shared" si="8"/>
        <v>5820.6808447040685</v>
      </c>
      <c r="M146" s="125">
        <v>17983.756012574693</v>
      </c>
      <c r="N146" s="128">
        <f t="shared" si="9"/>
        <v>5395.1268037724076</v>
      </c>
      <c r="O146" s="125">
        <v>11215.807648476477</v>
      </c>
      <c r="P146" s="128" t="s">
        <v>414</v>
      </c>
      <c r="Q146" s="122" t="s">
        <v>64</v>
      </c>
      <c r="R146" s="129">
        <v>0</v>
      </c>
    </row>
    <row r="147" spans="1:18" s="122" customFormat="1" x14ac:dyDescent="0.2">
      <c r="A147" s="122" t="s">
        <v>438</v>
      </c>
      <c r="B147" s="123" t="s">
        <v>416</v>
      </c>
      <c r="C147" s="122">
        <v>38075941</v>
      </c>
      <c r="D147" s="124">
        <v>45936</v>
      </c>
      <c r="E147" s="124">
        <v>45043</v>
      </c>
      <c r="F147" s="115">
        <v>8666.6782758620684</v>
      </c>
      <c r="G147" s="115">
        <v>3.2722000000000002</v>
      </c>
      <c r="H147" s="125">
        <v>28359.104654275863</v>
      </c>
      <c r="I147" s="126">
        <v>0.62170000000000003</v>
      </c>
      <c r="J147" s="127">
        <v>0.3</v>
      </c>
      <c r="K147" s="125">
        <v>9709.2836041983992</v>
      </c>
      <c r="L147" s="128">
        <f t="shared" si="8"/>
        <v>6036.2616167301449</v>
      </c>
      <c r="M147" s="125">
        <v>18649.821050077462</v>
      </c>
      <c r="N147" s="128">
        <f t="shared" si="9"/>
        <v>5594.9463150232386</v>
      </c>
      <c r="O147" s="125">
        <v>11631.207931753383</v>
      </c>
      <c r="P147" s="128" t="s">
        <v>414</v>
      </c>
      <c r="Q147" s="122" t="s">
        <v>64</v>
      </c>
      <c r="R147" s="129">
        <v>0</v>
      </c>
    </row>
    <row r="148" spans="1:18" s="122" customFormat="1" x14ac:dyDescent="0.2">
      <c r="A148" s="122" t="s">
        <v>438</v>
      </c>
      <c r="B148" s="123" t="s">
        <v>416</v>
      </c>
      <c r="C148" s="122">
        <v>38075941</v>
      </c>
      <c r="D148" s="124">
        <v>45938</v>
      </c>
      <c r="E148" s="124">
        <v>44685</v>
      </c>
      <c r="F148" s="115">
        <v>5918.8342247838618</v>
      </c>
      <c r="G148" s="115">
        <v>3.2722000000000002</v>
      </c>
      <c r="H148" s="125">
        <v>19367.609350337752</v>
      </c>
      <c r="I148" s="126">
        <v>0.62170000000000003</v>
      </c>
      <c r="J148" s="127">
        <v>0.3</v>
      </c>
      <c r="K148" s="125">
        <v>14033.78700659869</v>
      </c>
      <c r="L148" s="128">
        <f t="shared" si="8"/>
        <v>8724.8053820024052</v>
      </c>
      <c r="M148" s="125">
        <v>5333.8223437390634</v>
      </c>
      <c r="N148" s="128">
        <f t="shared" si="9"/>
        <v>1600.1467031217189</v>
      </c>
      <c r="O148" s="125">
        <v>10324.952085124125</v>
      </c>
      <c r="P148" s="128" t="s">
        <v>414</v>
      </c>
      <c r="Q148" s="122" t="s">
        <v>64</v>
      </c>
      <c r="R148" s="129">
        <v>0</v>
      </c>
    </row>
    <row r="149" spans="1:18" s="122" customFormat="1" x14ac:dyDescent="0.2">
      <c r="A149" s="122" t="s">
        <v>438</v>
      </c>
      <c r="B149" s="123" t="s">
        <v>416</v>
      </c>
      <c r="C149" s="122">
        <v>38075941</v>
      </c>
      <c r="D149" s="124">
        <v>45938</v>
      </c>
      <c r="E149" s="124">
        <v>45043</v>
      </c>
      <c r="F149" s="115">
        <v>8410.9749510086458</v>
      </c>
      <c r="G149" s="115">
        <v>3.2722000000000002</v>
      </c>
      <c r="H149" s="125">
        <v>27522.392234690491</v>
      </c>
      <c r="I149" s="126">
        <v>0.62170000000000003</v>
      </c>
      <c r="J149" s="127">
        <v>0.3</v>
      </c>
      <c r="K149" s="125">
        <v>9361.9374221157923</v>
      </c>
      <c r="L149" s="128">
        <f t="shared" si="8"/>
        <v>5820.3164953293881</v>
      </c>
      <c r="M149" s="125">
        <v>18160.454812574699</v>
      </c>
      <c r="N149" s="128">
        <f t="shared" si="9"/>
        <v>5448.1364437724096</v>
      </c>
      <c r="O149" s="125">
        <v>11268.452939101799</v>
      </c>
      <c r="P149" s="128" t="s">
        <v>414</v>
      </c>
      <c r="Q149" s="122" t="s">
        <v>64</v>
      </c>
      <c r="R149" s="129">
        <v>0</v>
      </c>
    </row>
    <row r="150" spans="1:18" s="122" customFormat="1" x14ac:dyDescent="0.2">
      <c r="A150" s="122" t="s">
        <v>438</v>
      </c>
      <c r="B150" s="123" t="s">
        <v>416</v>
      </c>
      <c r="C150" s="122">
        <v>38075941</v>
      </c>
      <c r="D150" s="124">
        <v>45938</v>
      </c>
      <c r="E150" s="124">
        <v>45043</v>
      </c>
      <c r="F150" s="115">
        <v>8410.9749510086458</v>
      </c>
      <c r="G150" s="115">
        <v>3.2722000000000002</v>
      </c>
      <c r="H150" s="125">
        <v>27522.392234690491</v>
      </c>
      <c r="I150" s="126">
        <v>0.62170000000000003</v>
      </c>
      <c r="J150" s="127">
        <v>0.3</v>
      </c>
      <c r="K150" s="125">
        <v>9361.9374221157923</v>
      </c>
      <c r="L150" s="128">
        <f t="shared" si="8"/>
        <v>5820.3164953293881</v>
      </c>
      <c r="M150" s="125">
        <v>18160.454812574699</v>
      </c>
      <c r="N150" s="128">
        <f t="shared" si="9"/>
        <v>5448.1364437724096</v>
      </c>
      <c r="O150" s="125">
        <v>11268.452939101799</v>
      </c>
      <c r="P150" s="128" t="s">
        <v>414</v>
      </c>
      <c r="Q150" s="122" t="s">
        <v>64</v>
      </c>
      <c r="R150" s="129">
        <v>0</v>
      </c>
    </row>
    <row r="151" spans="1:18" s="122" customFormat="1" x14ac:dyDescent="0.2">
      <c r="A151" s="122" t="s">
        <v>438</v>
      </c>
      <c r="B151" s="123" t="s">
        <v>416</v>
      </c>
      <c r="C151" s="122">
        <v>38075941</v>
      </c>
      <c r="D151" s="124">
        <v>45938</v>
      </c>
      <c r="E151" s="124">
        <v>45043</v>
      </c>
      <c r="F151" s="115">
        <v>8722.4925417867435</v>
      </c>
      <c r="G151" s="115">
        <v>3.2722000000000002</v>
      </c>
      <c r="H151" s="125">
        <v>28541.740095234585</v>
      </c>
      <c r="I151" s="126">
        <v>0.62170000000000003</v>
      </c>
      <c r="J151" s="127">
        <v>0.3</v>
      </c>
      <c r="K151" s="125">
        <v>9708.6758451571204</v>
      </c>
      <c r="L151" s="128">
        <f t="shared" si="8"/>
        <v>6035.8837729341822</v>
      </c>
      <c r="M151" s="125">
        <v>18833.064250077463</v>
      </c>
      <c r="N151" s="128">
        <f t="shared" si="9"/>
        <v>5649.9192750232387</v>
      </c>
      <c r="O151" s="125">
        <v>11685.803047957423</v>
      </c>
      <c r="P151" s="128" t="s">
        <v>414</v>
      </c>
      <c r="Q151" s="122" t="s">
        <v>64</v>
      </c>
      <c r="R151" s="129">
        <v>0</v>
      </c>
    </row>
    <row r="152" spans="1:18" s="122" customFormat="1" x14ac:dyDescent="0.2">
      <c r="A152" s="122" t="s">
        <v>438</v>
      </c>
      <c r="B152" s="123" t="s">
        <v>416</v>
      </c>
      <c r="C152" s="122">
        <v>38075941</v>
      </c>
      <c r="D152" s="124">
        <v>45961</v>
      </c>
      <c r="E152" s="124">
        <v>45177</v>
      </c>
      <c r="F152" s="115">
        <v>4626.979589985126</v>
      </c>
      <c r="G152" s="115">
        <v>3.2515999999999998</v>
      </c>
      <c r="H152" s="125">
        <v>15045.086834795635</v>
      </c>
      <c r="I152" s="126">
        <v>0.62170000000000003</v>
      </c>
      <c r="J152" s="127">
        <v>0.3</v>
      </c>
      <c r="K152" s="125">
        <v>6709.6016291110745</v>
      </c>
      <c r="L152" s="128">
        <f t="shared" si="8"/>
        <v>4171.3593328183551</v>
      </c>
      <c r="M152" s="125">
        <v>8335.4852056845612</v>
      </c>
      <c r="N152" s="128">
        <f t="shared" si="9"/>
        <v>2500.6455617053684</v>
      </c>
      <c r="O152" s="125">
        <v>6672.0048945237222</v>
      </c>
      <c r="P152" s="128" t="s">
        <v>414</v>
      </c>
      <c r="Q152" s="122" t="s">
        <v>64</v>
      </c>
      <c r="R152" s="129">
        <v>0</v>
      </c>
    </row>
    <row r="153" spans="1:18" s="122" customFormat="1" x14ac:dyDescent="0.2">
      <c r="A153" s="122" t="s">
        <v>438</v>
      </c>
      <c r="B153" s="123" t="s">
        <v>416</v>
      </c>
      <c r="C153" s="122">
        <v>38075941</v>
      </c>
      <c r="D153" s="124">
        <v>45961</v>
      </c>
      <c r="E153" s="124">
        <v>45177</v>
      </c>
      <c r="F153" s="115">
        <v>4626.979589985126</v>
      </c>
      <c r="G153" s="115">
        <v>3.2515999999999998</v>
      </c>
      <c r="H153" s="125">
        <v>15045.086834795635</v>
      </c>
      <c r="I153" s="126">
        <v>0.62170000000000003</v>
      </c>
      <c r="J153" s="127">
        <v>0.3</v>
      </c>
      <c r="K153" s="125">
        <v>6709.6016291110745</v>
      </c>
      <c r="L153" s="128">
        <f t="shared" si="8"/>
        <v>4171.3593328183551</v>
      </c>
      <c r="M153" s="125">
        <v>8335.4852056845612</v>
      </c>
      <c r="N153" s="128">
        <f t="shared" si="9"/>
        <v>2500.6455617053684</v>
      </c>
      <c r="O153" s="125">
        <v>6672.0048945237222</v>
      </c>
      <c r="P153" s="128" t="s">
        <v>414</v>
      </c>
      <c r="Q153" s="122" t="s">
        <v>64</v>
      </c>
      <c r="R153" s="129">
        <v>0</v>
      </c>
    </row>
    <row r="154" spans="1:18" s="122" customFormat="1" x14ac:dyDescent="0.2">
      <c r="A154" s="122" t="s">
        <v>438</v>
      </c>
      <c r="B154" s="123" t="s">
        <v>416</v>
      </c>
      <c r="C154" s="122">
        <v>38075941</v>
      </c>
      <c r="D154" s="124">
        <v>45961</v>
      </c>
      <c r="E154" s="124">
        <v>45177</v>
      </c>
      <c r="F154" s="115">
        <v>4626.979589985126</v>
      </c>
      <c r="G154" s="115">
        <v>3.2515999999999998</v>
      </c>
      <c r="H154" s="125">
        <v>15045.086834795635</v>
      </c>
      <c r="I154" s="126">
        <v>0.62170000000000003</v>
      </c>
      <c r="J154" s="127">
        <v>0.3</v>
      </c>
      <c r="K154" s="125">
        <v>6709.6016291110745</v>
      </c>
      <c r="L154" s="128">
        <f t="shared" si="8"/>
        <v>4171.3593328183551</v>
      </c>
      <c r="M154" s="125">
        <v>8335.4852056845612</v>
      </c>
      <c r="N154" s="128">
        <f t="shared" si="9"/>
        <v>2500.6455617053684</v>
      </c>
      <c r="O154" s="125">
        <v>6672.0048945237222</v>
      </c>
      <c r="P154" s="128" t="s">
        <v>414</v>
      </c>
      <c r="Q154" s="122" t="s">
        <v>64</v>
      </c>
      <c r="R154" s="129">
        <v>0</v>
      </c>
    </row>
    <row r="155" spans="1:18" s="122" customFormat="1" x14ac:dyDescent="0.2">
      <c r="A155" s="122" t="s">
        <v>438</v>
      </c>
      <c r="B155" s="123" t="s">
        <v>416</v>
      </c>
      <c r="C155" s="122">
        <v>38075941</v>
      </c>
      <c r="D155" s="124">
        <v>45961</v>
      </c>
      <c r="E155" s="124">
        <v>45177</v>
      </c>
      <c r="F155" s="115">
        <v>4626.979589985126</v>
      </c>
      <c r="G155" s="115">
        <v>3.2515999999999998</v>
      </c>
      <c r="H155" s="125">
        <v>15045.086834795635</v>
      </c>
      <c r="I155" s="126">
        <v>0.62170000000000003</v>
      </c>
      <c r="J155" s="127">
        <v>0.3</v>
      </c>
      <c r="K155" s="125">
        <v>6709.6016291110745</v>
      </c>
      <c r="L155" s="128">
        <f t="shared" si="8"/>
        <v>4171.3593328183551</v>
      </c>
      <c r="M155" s="125">
        <v>8335.4852056845612</v>
      </c>
      <c r="N155" s="128">
        <f t="shared" si="9"/>
        <v>2500.6455617053684</v>
      </c>
      <c r="O155" s="125">
        <v>6672.0048945237222</v>
      </c>
      <c r="P155" s="128" t="s">
        <v>414</v>
      </c>
      <c r="Q155" s="122" t="s">
        <v>64</v>
      </c>
      <c r="R155" s="129">
        <v>0</v>
      </c>
    </row>
    <row r="156" spans="1:18" s="122" customFormat="1" x14ac:dyDescent="0.2">
      <c r="A156" s="122" t="s">
        <v>438</v>
      </c>
      <c r="B156" s="123" t="s">
        <v>416</v>
      </c>
      <c r="C156" s="122">
        <v>38075941</v>
      </c>
      <c r="D156" s="124">
        <v>45961</v>
      </c>
      <c r="E156" s="124">
        <v>45177</v>
      </c>
      <c r="F156" s="115">
        <v>4626.979589985126</v>
      </c>
      <c r="G156" s="115">
        <v>3.2515999999999998</v>
      </c>
      <c r="H156" s="125">
        <v>15045.086834795635</v>
      </c>
      <c r="I156" s="126">
        <v>0.62170000000000003</v>
      </c>
      <c r="J156" s="127">
        <v>0.3</v>
      </c>
      <c r="K156" s="125">
        <v>6709.6016291110745</v>
      </c>
      <c r="L156" s="128">
        <f t="shared" si="8"/>
        <v>4171.3593328183551</v>
      </c>
      <c r="M156" s="125">
        <v>8335.4852056845612</v>
      </c>
      <c r="N156" s="128">
        <f t="shared" si="9"/>
        <v>2500.6455617053684</v>
      </c>
      <c r="O156" s="125">
        <v>6672.0048945237222</v>
      </c>
      <c r="P156" s="128" t="s">
        <v>414</v>
      </c>
      <c r="Q156" s="122" t="s">
        <v>64</v>
      </c>
      <c r="R156" s="129">
        <v>0</v>
      </c>
    </row>
    <row r="157" spans="1:18" s="122" customFormat="1" x14ac:dyDescent="0.2">
      <c r="A157" s="122" t="s">
        <v>438</v>
      </c>
      <c r="B157" s="123" t="s">
        <v>416</v>
      </c>
      <c r="C157" s="122">
        <v>38075941</v>
      </c>
      <c r="D157" s="124">
        <v>45961</v>
      </c>
      <c r="E157" s="124">
        <v>45177</v>
      </c>
      <c r="F157" s="115">
        <v>4296.4810478433319</v>
      </c>
      <c r="G157" s="115">
        <v>3.2515999999999998</v>
      </c>
      <c r="H157" s="125">
        <v>13970.437775167376</v>
      </c>
      <c r="I157" s="126">
        <v>0.62170000000000003</v>
      </c>
      <c r="J157" s="127">
        <v>0.3</v>
      </c>
      <c r="K157" s="125">
        <v>6230.344369888855</v>
      </c>
      <c r="L157" s="128">
        <f t="shared" si="8"/>
        <v>3873.4050947599012</v>
      </c>
      <c r="M157" s="125">
        <v>7740.0934052785233</v>
      </c>
      <c r="N157" s="128">
        <f t="shared" si="9"/>
        <v>2322.0280215835569</v>
      </c>
      <c r="O157" s="125">
        <v>6195.4331163434581</v>
      </c>
      <c r="P157" s="128" t="s">
        <v>414</v>
      </c>
      <c r="Q157" s="122" t="s">
        <v>64</v>
      </c>
      <c r="R157" s="129">
        <v>0</v>
      </c>
    </row>
    <row r="158" spans="1:18" s="122" customFormat="1" x14ac:dyDescent="0.2">
      <c r="A158" s="122" t="s">
        <v>438</v>
      </c>
      <c r="B158" s="123" t="s">
        <v>416</v>
      </c>
      <c r="C158" s="122">
        <v>38075941</v>
      </c>
      <c r="D158" s="124">
        <v>45961</v>
      </c>
      <c r="E158" s="124">
        <v>45177</v>
      </c>
      <c r="F158" s="115">
        <v>4626.979589985126</v>
      </c>
      <c r="G158" s="115">
        <v>3.2515999999999998</v>
      </c>
      <c r="H158" s="125">
        <v>15045.086834795635</v>
      </c>
      <c r="I158" s="126">
        <v>0.62170000000000003</v>
      </c>
      <c r="J158" s="127">
        <v>0.3</v>
      </c>
      <c r="K158" s="125">
        <v>6709.6016291110745</v>
      </c>
      <c r="L158" s="128">
        <f t="shared" si="8"/>
        <v>4171.3593328183551</v>
      </c>
      <c r="M158" s="125">
        <v>8335.4852056845612</v>
      </c>
      <c r="N158" s="128">
        <f t="shared" si="9"/>
        <v>2500.6455617053684</v>
      </c>
      <c r="O158" s="125">
        <v>6672.0048945237222</v>
      </c>
      <c r="P158" s="128" t="s">
        <v>414</v>
      </c>
      <c r="Q158" s="122" t="s">
        <v>64</v>
      </c>
      <c r="R158" s="129">
        <v>0</v>
      </c>
    </row>
    <row r="159" spans="1:18" s="122" customFormat="1" x14ac:dyDescent="0.2">
      <c r="A159" s="122" t="s">
        <v>438</v>
      </c>
      <c r="B159" s="123" t="s">
        <v>416</v>
      </c>
      <c r="C159" s="122">
        <v>38075941</v>
      </c>
      <c r="D159" s="124">
        <v>45961</v>
      </c>
      <c r="E159" s="124">
        <v>45177</v>
      </c>
      <c r="F159" s="115">
        <v>4626.979589985126</v>
      </c>
      <c r="G159" s="115">
        <v>3.2515999999999998</v>
      </c>
      <c r="H159" s="125">
        <v>15045.086834795635</v>
      </c>
      <c r="I159" s="126">
        <v>0.62170000000000003</v>
      </c>
      <c r="J159" s="127">
        <v>0.3</v>
      </c>
      <c r="K159" s="125">
        <v>6709.6016291110745</v>
      </c>
      <c r="L159" s="128">
        <f t="shared" si="8"/>
        <v>4171.3593328183551</v>
      </c>
      <c r="M159" s="125">
        <v>8335.4852056845612</v>
      </c>
      <c r="N159" s="128">
        <f t="shared" si="9"/>
        <v>2500.6455617053684</v>
      </c>
      <c r="O159" s="125">
        <v>6672.0048945237222</v>
      </c>
      <c r="P159" s="128" t="s">
        <v>414</v>
      </c>
      <c r="Q159" s="122" t="s">
        <v>64</v>
      </c>
      <c r="R159" s="129">
        <v>0</v>
      </c>
    </row>
    <row r="160" spans="1:18" s="122" customFormat="1" x14ac:dyDescent="0.2">
      <c r="A160" s="122" t="s">
        <v>439</v>
      </c>
      <c r="B160" s="123" t="s">
        <v>416</v>
      </c>
      <c r="C160" s="122">
        <v>332407659</v>
      </c>
      <c r="D160" s="124">
        <v>45954</v>
      </c>
      <c r="E160" s="124">
        <v>45177</v>
      </c>
      <c r="F160" s="115">
        <v>4867.6483559498956</v>
      </c>
      <c r="G160" s="115">
        <v>3.2262</v>
      </c>
      <c r="H160" s="125">
        <v>15704.007125965552</v>
      </c>
      <c r="I160" s="126">
        <v>0.62170000000000003</v>
      </c>
      <c r="J160" s="127">
        <v>0.3</v>
      </c>
      <c r="K160" s="125">
        <v>7133.2520133288517</v>
      </c>
      <c r="L160" s="128">
        <f t="shared" si="8"/>
        <v>4434.7427766865476</v>
      </c>
      <c r="M160" s="125">
        <v>8570.7551126367016</v>
      </c>
      <c r="N160" s="128">
        <f t="shared" si="9"/>
        <v>2571.2265337910103</v>
      </c>
      <c r="O160" s="125">
        <v>7005.969310477557</v>
      </c>
      <c r="P160" s="128" t="s">
        <v>414</v>
      </c>
      <c r="Q160" s="122" t="s">
        <v>73</v>
      </c>
      <c r="R160" s="129">
        <v>0</v>
      </c>
    </row>
    <row r="161" spans="1:18" s="122" customFormat="1" x14ac:dyDescent="0.2">
      <c r="A161" s="122" t="s">
        <v>439</v>
      </c>
      <c r="B161" s="123" t="s">
        <v>416</v>
      </c>
      <c r="C161" s="122">
        <v>332407659</v>
      </c>
      <c r="D161" s="124">
        <v>45954</v>
      </c>
      <c r="E161" s="124">
        <v>45177</v>
      </c>
      <c r="F161" s="115">
        <v>4867.6483559498956</v>
      </c>
      <c r="G161" s="115">
        <v>3.2262</v>
      </c>
      <c r="H161" s="125">
        <v>15704.007125965552</v>
      </c>
      <c r="I161" s="126">
        <v>0.62170000000000003</v>
      </c>
      <c r="J161" s="127">
        <v>0.3</v>
      </c>
      <c r="K161" s="125">
        <v>7133.2520133288517</v>
      </c>
      <c r="L161" s="128">
        <f t="shared" si="8"/>
        <v>4434.7427766865476</v>
      </c>
      <c r="M161" s="125">
        <v>8570.7551126367016</v>
      </c>
      <c r="N161" s="128">
        <f t="shared" si="9"/>
        <v>2571.2265337910103</v>
      </c>
      <c r="O161" s="125">
        <v>7005.969310477557</v>
      </c>
      <c r="P161" s="128" t="s">
        <v>414</v>
      </c>
      <c r="Q161" s="122" t="s">
        <v>73</v>
      </c>
      <c r="R161" s="129">
        <v>0</v>
      </c>
    </row>
    <row r="162" spans="1:18" s="122" customFormat="1" x14ac:dyDescent="0.2">
      <c r="A162" s="122" t="s">
        <v>439</v>
      </c>
      <c r="B162" s="123" t="s">
        <v>416</v>
      </c>
      <c r="C162" s="122">
        <v>332407659</v>
      </c>
      <c r="D162" s="124">
        <v>45954</v>
      </c>
      <c r="E162" s="124">
        <v>44537</v>
      </c>
      <c r="F162" s="115">
        <v>4543.1384655532365</v>
      </c>
      <c r="G162" s="115">
        <v>3.2262</v>
      </c>
      <c r="H162" s="125">
        <v>14657.073317567851</v>
      </c>
      <c r="I162" s="126">
        <v>0.62170000000000003</v>
      </c>
      <c r="J162" s="127">
        <v>0.3</v>
      </c>
      <c r="K162" s="125">
        <v>14657.073317567851</v>
      </c>
      <c r="L162" s="128">
        <f t="shared" ref="L162:L189" si="10">I162*K162</f>
        <v>9112.3024815319332</v>
      </c>
      <c r="M162" s="125">
        <v>0</v>
      </c>
      <c r="N162" s="128">
        <f t="shared" ref="N162:N189" si="11">M162*J162</f>
        <v>0</v>
      </c>
      <c r="O162" s="125">
        <v>9112.3024815319332</v>
      </c>
      <c r="P162" s="128" t="s">
        <v>414</v>
      </c>
      <c r="Q162" s="122" t="s">
        <v>73</v>
      </c>
      <c r="R162" s="129">
        <v>0</v>
      </c>
    </row>
    <row r="163" spans="1:18" s="122" customFormat="1" x14ac:dyDescent="0.2">
      <c r="A163" s="122" t="s">
        <v>439</v>
      </c>
      <c r="B163" s="123" t="s">
        <v>416</v>
      </c>
      <c r="C163" s="122">
        <v>332407659</v>
      </c>
      <c r="D163" s="124">
        <v>45954</v>
      </c>
      <c r="E163" s="124">
        <v>45177</v>
      </c>
      <c r="F163" s="115">
        <v>4867.6483559498956</v>
      </c>
      <c r="G163" s="115">
        <v>3.2262</v>
      </c>
      <c r="H163" s="125">
        <v>15704.007125965552</v>
      </c>
      <c r="I163" s="126">
        <v>0.62170000000000003</v>
      </c>
      <c r="J163" s="127">
        <v>0.3</v>
      </c>
      <c r="K163" s="125">
        <v>7133.2520133288517</v>
      </c>
      <c r="L163" s="128">
        <f t="shared" si="10"/>
        <v>4434.7427766865476</v>
      </c>
      <c r="M163" s="125">
        <v>8570.7551126367016</v>
      </c>
      <c r="N163" s="128">
        <f t="shared" si="11"/>
        <v>2571.2265337910103</v>
      </c>
      <c r="O163" s="125">
        <v>7005.969310477557</v>
      </c>
      <c r="P163" s="128" t="s">
        <v>414</v>
      </c>
      <c r="Q163" s="122" t="s">
        <v>73</v>
      </c>
      <c r="R163" s="129">
        <v>0</v>
      </c>
    </row>
    <row r="164" spans="1:18" s="122" customFormat="1" x14ac:dyDescent="0.2">
      <c r="A164" s="122" t="s">
        <v>439</v>
      </c>
      <c r="B164" s="123" t="s">
        <v>416</v>
      </c>
      <c r="C164" s="122">
        <v>332407659</v>
      </c>
      <c r="D164" s="124">
        <v>45954</v>
      </c>
      <c r="E164" s="124">
        <v>44537</v>
      </c>
      <c r="F164" s="115">
        <v>4543.1384655532365</v>
      </c>
      <c r="G164" s="115">
        <v>3.2262</v>
      </c>
      <c r="H164" s="125">
        <v>14657.073317567851</v>
      </c>
      <c r="I164" s="126">
        <v>0.62170000000000003</v>
      </c>
      <c r="J164" s="127">
        <v>0.3</v>
      </c>
      <c r="K164" s="125">
        <v>14657.073317567851</v>
      </c>
      <c r="L164" s="128">
        <f t="shared" si="10"/>
        <v>9112.3024815319332</v>
      </c>
      <c r="M164" s="125">
        <v>0</v>
      </c>
      <c r="N164" s="128">
        <f t="shared" si="11"/>
        <v>0</v>
      </c>
      <c r="O164" s="125">
        <v>9112.3024815319332</v>
      </c>
      <c r="P164" s="128" t="s">
        <v>414</v>
      </c>
      <c r="Q164" s="122" t="s">
        <v>73</v>
      </c>
      <c r="R164" s="129">
        <v>0</v>
      </c>
    </row>
    <row r="165" spans="1:18" s="122" customFormat="1" x14ac:dyDescent="0.2">
      <c r="A165" s="122" t="s">
        <v>439</v>
      </c>
      <c r="B165" s="123" t="s">
        <v>416</v>
      </c>
      <c r="C165" s="122">
        <v>332407659</v>
      </c>
      <c r="D165" s="124">
        <v>45954</v>
      </c>
      <c r="E165" s="124">
        <v>45177</v>
      </c>
      <c r="F165" s="115">
        <v>4867.6483559498956</v>
      </c>
      <c r="G165" s="115">
        <v>3.2262</v>
      </c>
      <c r="H165" s="125">
        <v>15704.007125965552</v>
      </c>
      <c r="I165" s="126">
        <v>0.62170000000000003</v>
      </c>
      <c r="J165" s="127">
        <v>0.3</v>
      </c>
      <c r="K165" s="125">
        <v>7133.2520133288517</v>
      </c>
      <c r="L165" s="128">
        <f t="shared" si="10"/>
        <v>4434.7427766865476</v>
      </c>
      <c r="M165" s="125">
        <v>8570.7551126367016</v>
      </c>
      <c r="N165" s="128">
        <f t="shared" si="11"/>
        <v>2571.2265337910103</v>
      </c>
      <c r="O165" s="125">
        <v>7005.969310477557</v>
      </c>
      <c r="P165" s="128" t="s">
        <v>414</v>
      </c>
      <c r="Q165" s="122" t="s">
        <v>73</v>
      </c>
      <c r="R165" s="129">
        <v>0</v>
      </c>
    </row>
    <row r="166" spans="1:18" s="122" customFormat="1" x14ac:dyDescent="0.2">
      <c r="A166" s="122" t="s">
        <v>439</v>
      </c>
      <c r="B166" s="123" t="s">
        <v>416</v>
      </c>
      <c r="C166" s="122">
        <v>332407659</v>
      </c>
      <c r="D166" s="124">
        <v>45954</v>
      </c>
      <c r="E166" s="124">
        <v>45177</v>
      </c>
      <c r="F166" s="115">
        <v>5192.1582463465547</v>
      </c>
      <c r="G166" s="115">
        <v>3.2262</v>
      </c>
      <c r="H166" s="125">
        <v>16750.940934363254</v>
      </c>
      <c r="I166" s="126">
        <v>0.62170000000000003</v>
      </c>
      <c r="J166" s="127">
        <v>0.3</v>
      </c>
      <c r="K166" s="125">
        <v>7608.802147550774</v>
      </c>
      <c r="L166" s="128">
        <f t="shared" si="10"/>
        <v>4730.3922951323166</v>
      </c>
      <c r="M166" s="125">
        <v>9142.1387868124802</v>
      </c>
      <c r="N166" s="128">
        <f t="shared" si="11"/>
        <v>2742.6416360437438</v>
      </c>
      <c r="O166" s="125">
        <v>7473.0339311760608</v>
      </c>
      <c r="P166" s="128" t="s">
        <v>414</v>
      </c>
      <c r="Q166" s="122" t="s">
        <v>73</v>
      </c>
      <c r="R166" s="129">
        <v>0</v>
      </c>
    </row>
    <row r="167" spans="1:18" s="122" customFormat="1" x14ac:dyDescent="0.2">
      <c r="A167" s="122" t="s">
        <v>439</v>
      </c>
      <c r="B167" s="123" t="s">
        <v>416</v>
      </c>
      <c r="C167" s="122">
        <v>332407659</v>
      </c>
      <c r="D167" s="124">
        <v>45954</v>
      </c>
      <c r="E167" s="124">
        <v>45177</v>
      </c>
      <c r="F167" s="115">
        <v>4867.6483559498956</v>
      </c>
      <c r="G167" s="115">
        <v>3.2262</v>
      </c>
      <c r="H167" s="125">
        <v>15704.007125965552</v>
      </c>
      <c r="I167" s="126">
        <v>0.62170000000000003</v>
      </c>
      <c r="J167" s="127">
        <v>0.3</v>
      </c>
      <c r="K167" s="125">
        <v>7133.2520133288517</v>
      </c>
      <c r="L167" s="128">
        <f t="shared" si="10"/>
        <v>4434.7427766865476</v>
      </c>
      <c r="M167" s="125">
        <v>8570.7551126367016</v>
      </c>
      <c r="N167" s="128">
        <f t="shared" si="11"/>
        <v>2571.2265337910103</v>
      </c>
      <c r="O167" s="125">
        <v>7005.969310477557</v>
      </c>
      <c r="P167" s="128" t="s">
        <v>414</v>
      </c>
      <c r="Q167" s="122" t="s">
        <v>73</v>
      </c>
      <c r="R167" s="129">
        <v>0</v>
      </c>
    </row>
    <row r="168" spans="1:18" s="122" customFormat="1" x14ac:dyDescent="0.2">
      <c r="A168" s="122" t="s">
        <v>439</v>
      </c>
      <c r="B168" s="123" t="s">
        <v>416</v>
      </c>
      <c r="C168" s="122">
        <v>332407659</v>
      </c>
      <c r="D168" s="124">
        <v>45954</v>
      </c>
      <c r="E168" s="124">
        <v>45177</v>
      </c>
      <c r="F168" s="115">
        <v>4867.6483559498956</v>
      </c>
      <c r="G168" s="115">
        <v>3.2262</v>
      </c>
      <c r="H168" s="125">
        <v>15704.007125965552</v>
      </c>
      <c r="I168" s="126">
        <v>0.62170000000000003</v>
      </c>
      <c r="J168" s="127">
        <v>0.3</v>
      </c>
      <c r="K168" s="125">
        <v>7133.2520133288517</v>
      </c>
      <c r="L168" s="128">
        <f t="shared" si="10"/>
        <v>4434.7427766865476</v>
      </c>
      <c r="M168" s="125">
        <v>8570.7551126367016</v>
      </c>
      <c r="N168" s="128">
        <f t="shared" si="11"/>
        <v>2571.2265337910103</v>
      </c>
      <c r="O168" s="125">
        <v>7005.969310477557</v>
      </c>
      <c r="P168" s="128" t="s">
        <v>414</v>
      </c>
      <c r="Q168" s="122" t="s">
        <v>73</v>
      </c>
      <c r="R168" s="129">
        <v>0</v>
      </c>
    </row>
    <row r="169" spans="1:18" s="122" customFormat="1" x14ac:dyDescent="0.2">
      <c r="A169" s="122" t="s">
        <v>439</v>
      </c>
      <c r="B169" s="123" t="s">
        <v>416</v>
      </c>
      <c r="C169" s="122">
        <v>332407659</v>
      </c>
      <c r="D169" s="124">
        <v>45954</v>
      </c>
      <c r="E169" s="124">
        <v>45177</v>
      </c>
      <c r="F169" s="115">
        <v>4867.6483559498956</v>
      </c>
      <c r="G169" s="115">
        <v>3.2262</v>
      </c>
      <c r="H169" s="125">
        <v>15704.007125965552</v>
      </c>
      <c r="I169" s="126">
        <v>0.62170000000000003</v>
      </c>
      <c r="J169" s="127">
        <v>0.3</v>
      </c>
      <c r="K169" s="125">
        <v>7133.2520133288517</v>
      </c>
      <c r="L169" s="128">
        <f t="shared" si="10"/>
        <v>4434.7427766865476</v>
      </c>
      <c r="M169" s="125">
        <v>8570.7551126367016</v>
      </c>
      <c r="N169" s="128">
        <f t="shared" si="11"/>
        <v>2571.2265337910103</v>
      </c>
      <c r="O169" s="125">
        <v>7005.969310477557</v>
      </c>
      <c r="P169" s="128" t="s">
        <v>414</v>
      </c>
      <c r="Q169" s="122" t="s">
        <v>73</v>
      </c>
      <c r="R169" s="129">
        <v>0</v>
      </c>
    </row>
    <row r="170" spans="1:18" s="122" customFormat="1" x14ac:dyDescent="0.2">
      <c r="A170" s="122" t="s">
        <v>440</v>
      </c>
      <c r="B170" s="123" t="s">
        <v>416</v>
      </c>
      <c r="C170" s="122">
        <v>305357956</v>
      </c>
      <c r="D170" s="124">
        <v>45938</v>
      </c>
      <c r="E170" s="124">
        <v>45177</v>
      </c>
      <c r="F170" s="115">
        <v>5254.1266457276661</v>
      </c>
      <c r="G170" s="115">
        <v>3.2722000000000002</v>
      </c>
      <c r="H170" s="125">
        <v>17192.553210150068</v>
      </c>
      <c r="I170" s="126">
        <v>0.62170000000000003</v>
      </c>
      <c r="J170" s="127">
        <v>0.3</v>
      </c>
      <c r="K170" s="125">
        <v>8200.2542826160061</v>
      </c>
      <c r="L170" s="128">
        <f t="shared" si="10"/>
        <v>5098.0980875023715</v>
      </c>
      <c r="M170" s="125">
        <v>8992.2989275340642</v>
      </c>
      <c r="N170" s="128">
        <f t="shared" si="11"/>
        <v>2697.6896782602194</v>
      </c>
      <c r="O170" s="125">
        <v>7795.7877657625895</v>
      </c>
      <c r="P170" s="128" t="s">
        <v>414</v>
      </c>
      <c r="Q170" s="122" t="s">
        <v>101</v>
      </c>
      <c r="R170" s="129">
        <v>0</v>
      </c>
    </row>
    <row r="171" spans="1:18" s="122" customFormat="1" x14ac:dyDescent="0.2">
      <c r="A171" s="122" t="s">
        <v>440</v>
      </c>
      <c r="B171" s="123" t="s">
        <v>416</v>
      </c>
      <c r="C171" s="122">
        <v>305357956</v>
      </c>
      <c r="D171" s="124">
        <v>45938</v>
      </c>
      <c r="E171" s="124">
        <v>45043</v>
      </c>
      <c r="F171" s="115">
        <v>7726.6568319524495</v>
      </c>
      <c r="G171" s="115">
        <v>3.2722000000000002</v>
      </c>
      <c r="H171" s="125">
        <v>25283.166485514808</v>
      </c>
      <c r="I171" s="126">
        <v>0.62170000000000003</v>
      </c>
      <c r="J171" s="127">
        <v>0.3</v>
      </c>
      <c r="K171" s="125">
        <v>8668.7618229456421</v>
      </c>
      <c r="L171" s="128">
        <f t="shared" si="10"/>
        <v>5389.3692253253057</v>
      </c>
      <c r="M171" s="125">
        <v>16614.404662569166</v>
      </c>
      <c r="N171" s="128">
        <f t="shared" si="11"/>
        <v>4984.3213987707495</v>
      </c>
      <c r="O171" s="125">
        <v>10373.690624096054</v>
      </c>
      <c r="P171" s="128" t="s">
        <v>414</v>
      </c>
      <c r="Q171" s="122" t="s">
        <v>101</v>
      </c>
      <c r="R171" s="129">
        <v>0</v>
      </c>
    </row>
    <row r="172" spans="1:18" s="122" customFormat="1" x14ac:dyDescent="0.2">
      <c r="A172" s="122" t="s">
        <v>440</v>
      </c>
      <c r="B172" s="123" t="s">
        <v>416</v>
      </c>
      <c r="C172" s="122">
        <v>305357956</v>
      </c>
      <c r="D172" s="124">
        <v>45938</v>
      </c>
      <c r="E172" s="124">
        <v>45551</v>
      </c>
      <c r="F172" s="115">
        <v>8344.7893785086471</v>
      </c>
      <c r="G172" s="115">
        <v>3.2722000000000002</v>
      </c>
      <c r="H172" s="125">
        <v>27305.819804355997</v>
      </c>
      <c r="I172" s="126">
        <v>0.62170000000000003</v>
      </c>
      <c r="J172" s="127">
        <v>0.3</v>
      </c>
      <c r="K172" s="125">
        <v>27305.819804355997</v>
      </c>
      <c r="L172" s="128">
        <f t="shared" si="10"/>
        <v>16976.028172368126</v>
      </c>
      <c r="M172" s="125">
        <v>0</v>
      </c>
      <c r="N172" s="128">
        <f t="shared" si="11"/>
        <v>0</v>
      </c>
      <c r="O172" s="125">
        <v>16976.028172368126</v>
      </c>
      <c r="P172" s="128" t="s">
        <v>414</v>
      </c>
      <c r="Q172" s="122" t="s">
        <v>101</v>
      </c>
      <c r="R172" s="129">
        <v>0</v>
      </c>
    </row>
    <row r="173" spans="1:18" s="122" customFormat="1" x14ac:dyDescent="0.2">
      <c r="A173" s="122" t="s">
        <v>440</v>
      </c>
      <c r="B173" s="123" t="s">
        <v>416</v>
      </c>
      <c r="C173" s="122">
        <v>305357956</v>
      </c>
      <c r="D173" s="124">
        <v>45938</v>
      </c>
      <c r="E173" s="124">
        <v>44602</v>
      </c>
      <c r="F173" s="115">
        <v>9271.9881983429404</v>
      </c>
      <c r="G173" s="115">
        <v>3.2722000000000002</v>
      </c>
      <c r="H173" s="125">
        <v>30339.799782617771</v>
      </c>
      <c r="I173" s="126">
        <v>0.62170000000000003</v>
      </c>
      <c r="J173" s="127">
        <v>0.3</v>
      </c>
      <c r="K173" s="125">
        <v>25897.493663546367</v>
      </c>
      <c r="L173" s="128">
        <f t="shared" si="10"/>
        <v>16100.471810626777</v>
      </c>
      <c r="M173" s="125">
        <v>4442.3061190714061</v>
      </c>
      <c r="N173" s="128">
        <f t="shared" si="11"/>
        <v>1332.6918357214217</v>
      </c>
      <c r="O173" s="125">
        <v>17433.163646348199</v>
      </c>
      <c r="P173" s="128" t="s">
        <v>414</v>
      </c>
      <c r="Q173" s="122" t="s">
        <v>101</v>
      </c>
      <c r="R173" s="129">
        <v>0</v>
      </c>
    </row>
    <row r="174" spans="1:18" s="122" customFormat="1" x14ac:dyDescent="0.2">
      <c r="A174" s="122" t="s">
        <v>441</v>
      </c>
      <c r="B174" s="123" t="s">
        <v>416</v>
      </c>
      <c r="C174" s="122">
        <v>27385756</v>
      </c>
      <c r="D174" s="124">
        <v>45940</v>
      </c>
      <c r="E174" s="124">
        <v>44894</v>
      </c>
      <c r="F174" s="115">
        <v>31882.226899945905</v>
      </c>
      <c r="G174" s="115">
        <v>3.2759999999999998</v>
      </c>
      <c r="H174" s="125">
        <v>104446.17532422277</v>
      </c>
      <c r="I174" s="126">
        <v>0.62170000000000003</v>
      </c>
      <c r="J174" s="127">
        <v>0.3</v>
      </c>
      <c r="K174" s="125">
        <v>45927.413269742763</v>
      </c>
      <c r="L174" s="128">
        <f t="shared" si="10"/>
        <v>28553.072829799075</v>
      </c>
      <c r="M174" s="125">
        <v>58518.762054480008</v>
      </c>
      <c r="N174" s="128">
        <f t="shared" si="11"/>
        <v>17555.628616344002</v>
      </c>
      <c r="O174" s="125">
        <v>46108.701446143081</v>
      </c>
      <c r="P174" s="128" t="s">
        <v>414</v>
      </c>
      <c r="Q174" s="122" t="s">
        <v>77</v>
      </c>
      <c r="R174" s="129">
        <v>0</v>
      </c>
    </row>
    <row r="175" spans="1:18" s="122" customFormat="1" x14ac:dyDescent="0.2">
      <c r="A175" s="122" t="s">
        <v>441</v>
      </c>
      <c r="B175" s="123" t="s">
        <v>416</v>
      </c>
      <c r="C175" s="122">
        <v>27385756</v>
      </c>
      <c r="D175" s="124">
        <v>45950</v>
      </c>
      <c r="E175" s="124">
        <v>45043</v>
      </c>
      <c r="F175" s="115">
        <v>14920.932668350169</v>
      </c>
      <c r="G175" s="115">
        <v>3.2747999999999999</v>
      </c>
      <c r="H175" s="125">
        <v>48863.070302313135</v>
      </c>
      <c r="I175" s="126">
        <v>0.62170000000000003</v>
      </c>
      <c r="J175" s="127">
        <v>0.3</v>
      </c>
      <c r="K175" s="125">
        <v>17002.276854880536</v>
      </c>
      <c r="L175" s="128">
        <f t="shared" si="10"/>
        <v>10570.315520679229</v>
      </c>
      <c r="M175" s="125">
        <v>31860.793447432596</v>
      </c>
      <c r="N175" s="128">
        <f t="shared" si="11"/>
        <v>9558.2380342297783</v>
      </c>
      <c r="O175" s="125">
        <v>20128.553554909005</v>
      </c>
      <c r="P175" s="128" t="s">
        <v>414</v>
      </c>
      <c r="Q175" s="122" t="s">
        <v>77</v>
      </c>
      <c r="R175" s="129">
        <v>0</v>
      </c>
    </row>
    <row r="176" spans="1:18" s="122" customFormat="1" x14ac:dyDescent="0.2">
      <c r="A176" s="122" t="s">
        <v>441</v>
      </c>
      <c r="B176" s="123" t="s">
        <v>416</v>
      </c>
      <c r="C176" s="122">
        <v>27385756</v>
      </c>
      <c r="D176" s="124">
        <v>45953</v>
      </c>
      <c r="E176" s="124">
        <v>45177</v>
      </c>
      <c r="F176" s="115">
        <v>13309.680471698113</v>
      </c>
      <c r="G176" s="115">
        <v>3.2347999999999999</v>
      </c>
      <c r="H176" s="125">
        <v>43054.154389849056</v>
      </c>
      <c r="I176" s="126">
        <v>0.62170000000000003</v>
      </c>
      <c r="J176" s="127">
        <v>0.3</v>
      </c>
      <c r="K176" s="125">
        <v>20505.608108953889</v>
      </c>
      <c r="L176" s="128">
        <f t="shared" si="10"/>
        <v>12748.336561336633</v>
      </c>
      <c r="M176" s="125">
        <v>22548.546280895167</v>
      </c>
      <c r="N176" s="128">
        <f t="shared" si="11"/>
        <v>6764.5638842685503</v>
      </c>
      <c r="O176" s="125">
        <v>19512.900445605181</v>
      </c>
      <c r="P176" s="128" t="s">
        <v>414</v>
      </c>
      <c r="Q176" s="122" t="s">
        <v>77</v>
      </c>
      <c r="R176" s="129">
        <v>0</v>
      </c>
    </row>
    <row r="177" spans="1:18" s="122" customFormat="1" x14ac:dyDescent="0.2">
      <c r="A177" s="122" t="s">
        <v>441</v>
      </c>
      <c r="B177" s="123" t="s">
        <v>416</v>
      </c>
      <c r="C177" s="122">
        <v>27385756</v>
      </c>
      <c r="D177" s="124">
        <v>45961</v>
      </c>
      <c r="E177" s="124">
        <v>44894</v>
      </c>
      <c r="F177" s="115">
        <v>32900.079214179474</v>
      </c>
      <c r="G177" s="115">
        <v>3.2515999999999998</v>
      </c>
      <c r="H177" s="125">
        <v>106977.89757282597</v>
      </c>
      <c r="I177" s="126">
        <v>0.62170000000000003</v>
      </c>
      <c r="J177" s="127">
        <v>0.3</v>
      </c>
      <c r="K177" s="125">
        <v>45583.787717857973</v>
      </c>
      <c r="L177" s="128">
        <f t="shared" si="10"/>
        <v>28339.440824192305</v>
      </c>
      <c r="M177" s="125">
        <v>61394.109854968003</v>
      </c>
      <c r="N177" s="128">
        <f t="shared" si="11"/>
        <v>18418.232956490399</v>
      </c>
      <c r="O177" s="125">
        <v>46757.6737806827</v>
      </c>
      <c r="P177" s="128" t="s">
        <v>414</v>
      </c>
      <c r="Q177" s="122" t="s">
        <v>77</v>
      </c>
      <c r="R177" s="129">
        <v>0</v>
      </c>
    </row>
    <row r="178" spans="1:18" s="122" customFormat="1" x14ac:dyDescent="0.2">
      <c r="A178" s="122" t="s">
        <v>441</v>
      </c>
      <c r="B178" s="123" t="s">
        <v>416</v>
      </c>
      <c r="C178" s="122">
        <v>27385756</v>
      </c>
      <c r="D178" s="124">
        <v>45957</v>
      </c>
      <c r="E178" s="124">
        <v>45177</v>
      </c>
      <c r="F178" s="115">
        <v>13975.944667977688</v>
      </c>
      <c r="G178" s="115">
        <v>3.2292000000000001</v>
      </c>
      <c r="H178" s="125">
        <v>45131.120521833553</v>
      </c>
      <c r="I178" s="126">
        <v>0.62170000000000003</v>
      </c>
      <c r="J178" s="127">
        <v>0.3</v>
      </c>
      <c r="K178" s="125">
        <v>20466.445804419905</v>
      </c>
      <c r="L178" s="128">
        <f t="shared" si="10"/>
        <v>12723.989356607855</v>
      </c>
      <c r="M178" s="125">
        <v>24664.674717413647</v>
      </c>
      <c r="N178" s="128">
        <f t="shared" si="11"/>
        <v>7399.4024152240936</v>
      </c>
      <c r="O178" s="125">
        <v>20123.39177183195</v>
      </c>
      <c r="P178" s="128" t="s">
        <v>414</v>
      </c>
      <c r="Q178" s="122" t="s">
        <v>77</v>
      </c>
      <c r="R178" s="129">
        <v>0</v>
      </c>
    </row>
    <row r="179" spans="1:18" s="122" customFormat="1" x14ac:dyDescent="0.2">
      <c r="A179" s="122" t="s">
        <v>441</v>
      </c>
      <c r="B179" s="123" t="s">
        <v>416</v>
      </c>
      <c r="C179" s="122">
        <v>27385756</v>
      </c>
      <c r="D179" s="124">
        <v>45957</v>
      </c>
      <c r="E179" s="124">
        <v>45177</v>
      </c>
      <c r="F179" s="115">
        <v>14300.966637000425</v>
      </c>
      <c r="G179" s="115">
        <v>3.2292000000000001</v>
      </c>
      <c r="H179" s="125">
        <v>46180.681464201771</v>
      </c>
      <c r="I179" s="126">
        <v>0.62170000000000003</v>
      </c>
      <c r="J179" s="127">
        <v>0.3</v>
      </c>
      <c r="K179" s="125">
        <v>20942.409660336649</v>
      </c>
      <c r="L179" s="128">
        <f t="shared" si="10"/>
        <v>13019.896085831295</v>
      </c>
      <c r="M179" s="125">
        <v>25238.271803865126</v>
      </c>
      <c r="N179" s="128">
        <f t="shared" si="11"/>
        <v>7571.4815411595373</v>
      </c>
      <c r="O179" s="125">
        <v>20591.37762699083</v>
      </c>
      <c r="P179" s="128" t="s">
        <v>414</v>
      </c>
      <c r="Q179" s="122" t="s">
        <v>77</v>
      </c>
      <c r="R179" s="129">
        <v>0</v>
      </c>
    </row>
    <row r="180" spans="1:18" s="122" customFormat="1" x14ac:dyDescent="0.2">
      <c r="A180" s="122" t="s">
        <v>441</v>
      </c>
      <c r="B180" s="123" t="s">
        <v>416</v>
      </c>
      <c r="C180" s="122">
        <v>27385756</v>
      </c>
      <c r="D180" s="124">
        <v>45957</v>
      </c>
      <c r="E180" s="124">
        <v>45177</v>
      </c>
      <c r="F180" s="115">
        <v>13975.944667977688</v>
      </c>
      <c r="G180" s="115">
        <v>3.2292000000000001</v>
      </c>
      <c r="H180" s="125">
        <v>45131.120521833553</v>
      </c>
      <c r="I180" s="126">
        <v>0.62170000000000003</v>
      </c>
      <c r="J180" s="127">
        <v>0.3</v>
      </c>
      <c r="K180" s="125">
        <v>20466.445804419905</v>
      </c>
      <c r="L180" s="128">
        <f t="shared" si="10"/>
        <v>12723.989356607855</v>
      </c>
      <c r="M180" s="125">
        <v>24664.674717413647</v>
      </c>
      <c r="N180" s="128">
        <f t="shared" si="11"/>
        <v>7399.4024152240936</v>
      </c>
      <c r="O180" s="125">
        <v>20123.39177183195</v>
      </c>
      <c r="P180" s="128" t="s">
        <v>414</v>
      </c>
      <c r="Q180" s="122" t="s">
        <v>77</v>
      </c>
      <c r="R180" s="129">
        <v>0</v>
      </c>
    </row>
    <row r="181" spans="1:18" s="122" customFormat="1" x14ac:dyDescent="0.2">
      <c r="A181" s="122" t="s">
        <v>442</v>
      </c>
      <c r="B181" s="123" t="s">
        <v>416</v>
      </c>
      <c r="C181" s="122">
        <v>34890491</v>
      </c>
      <c r="D181" s="124">
        <v>45946</v>
      </c>
      <c r="E181" s="124">
        <v>44816</v>
      </c>
      <c r="F181" s="115">
        <v>28623.685140845071</v>
      </c>
      <c r="G181" s="115">
        <v>3.2839</v>
      </c>
      <c r="H181" s="125">
        <v>93997.319634021129</v>
      </c>
      <c r="I181" s="126">
        <v>0.62170000000000003</v>
      </c>
      <c r="J181" s="127">
        <v>0.3</v>
      </c>
      <c r="K181" s="125">
        <v>50614.402375780373</v>
      </c>
      <c r="L181" s="128">
        <f t="shared" si="10"/>
        <v>31466.973957022659</v>
      </c>
      <c r="M181" s="125">
        <v>43382.917258240755</v>
      </c>
      <c r="N181" s="128">
        <f t="shared" si="11"/>
        <v>13014.875177472226</v>
      </c>
      <c r="O181" s="125">
        <v>44481.849134494885</v>
      </c>
      <c r="P181" s="128" t="s">
        <v>414</v>
      </c>
      <c r="Q181" s="122" t="s">
        <v>127</v>
      </c>
      <c r="R181" s="129">
        <v>0</v>
      </c>
    </row>
    <row r="182" spans="1:18" s="122" customFormat="1" x14ac:dyDescent="0.2">
      <c r="A182" s="122" t="s">
        <v>442</v>
      </c>
      <c r="B182" s="123" t="s">
        <v>416</v>
      </c>
      <c r="C182" s="122">
        <v>34890491</v>
      </c>
      <c r="D182" s="124">
        <v>45946</v>
      </c>
      <c r="E182" s="124">
        <v>44816</v>
      </c>
      <c r="F182" s="115">
        <v>28928.192429577462</v>
      </c>
      <c r="G182" s="115">
        <v>3.2839</v>
      </c>
      <c r="H182" s="125">
        <v>94997.291119489426</v>
      </c>
      <c r="I182" s="126">
        <v>0.62170000000000003</v>
      </c>
      <c r="J182" s="127">
        <v>0.3</v>
      </c>
      <c r="K182" s="125">
        <v>51152.853464884422</v>
      </c>
      <c r="L182" s="128">
        <f t="shared" si="10"/>
        <v>31801.728999118648</v>
      </c>
      <c r="M182" s="125">
        <v>43844.437654605012</v>
      </c>
      <c r="N182" s="128">
        <f t="shared" si="11"/>
        <v>13153.331296381502</v>
      </c>
      <c r="O182" s="125">
        <v>44955.060295500145</v>
      </c>
      <c r="P182" s="128" t="s">
        <v>414</v>
      </c>
      <c r="Q182" s="122" t="s">
        <v>127</v>
      </c>
      <c r="R182" s="129">
        <v>0</v>
      </c>
    </row>
    <row r="183" spans="1:18" s="122" customFormat="1" x14ac:dyDescent="0.2">
      <c r="A183" s="122" t="s">
        <v>442</v>
      </c>
      <c r="B183" s="123" t="s">
        <v>416</v>
      </c>
      <c r="C183" s="122">
        <v>34890491</v>
      </c>
      <c r="D183" s="124">
        <v>45946</v>
      </c>
      <c r="E183" s="124">
        <v>44816</v>
      </c>
      <c r="F183" s="115">
        <v>28928.192429577462</v>
      </c>
      <c r="G183" s="115">
        <v>3.2839</v>
      </c>
      <c r="H183" s="125">
        <v>94997.291119489426</v>
      </c>
      <c r="I183" s="126">
        <v>0.62170000000000003</v>
      </c>
      <c r="J183" s="127">
        <v>0.3</v>
      </c>
      <c r="K183" s="125">
        <v>51152.853464884422</v>
      </c>
      <c r="L183" s="128">
        <f t="shared" si="10"/>
        <v>31801.728999118648</v>
      </c>
      <c r="M183" s="125">
        <v>43844.437654605012</v>
      </c>
      <c r="N183" s="128">
        <f t="shared" si="11"/>
        <v>13153.331296381502</v>
      </c>
      <c r="O183" s="125">
        <v>44955.060295500145</v>
      </c>
      <c r="P183" s="128" t="s">
        <v>414</v>
      </c>
      <c r="Q183" s="122" t="s">
        <v>127</v>
      </c>
      <c r="R183" s="129">
        <v>0</v>
      </c>
    </row>
    <row r="184" spans="1:18" s="122" customFormat="1" x14ac:dyDescent="0.2">
      <c r="A184" s="122" t="s">
        <v>442</v>
      </c>
      <c r="B184" s="123" t="s">
        <v>416</v>
      </c>
      <c r="C184" s="122">
        <v>34890491</v>
      </c>
      <c r="D184" s="124">
        <v>45958</v>
      </c>
      <c r="E184" s="124">
        <v>45177</v>
      </c>
      <c r="F184" s="115">
        <v>8817.60713283117</v>
      </c>
      <c r="G184" s="115">
        <v>3.2347999999999999</v>
      </c>
      <c r="H184" s="125">
        <v>28523.195553282269</v>
      </c>
      <c r="I184" s="126">
        <v>0.62170000000000003</v>
      </c>
      <c r="J184" s="127">
        <v>0.3</v>
      </c>
      <c r="K184" s="125">
        <v>12870.250792869019</v>
      </c>
      <c r="L184" s="128">
        <f t="shared" si="10"/>
        <v>8001.4349179266701</v>
      </c>
      <c r="M184" s="125">
        <v>15652.944760413247</v>
      </c>
      <c r="N184" s="128">
        <f t="shared" si="11"/>
        <v>4695.8834281239742</v>
      </c>
      <c r="O184" s="125">
        <v>12697.318346050644</v>
      </c>
      <c r="P184" s="128" t="s">
        <v>414</v>
      </c>
      <c r="Q184" s="122" t="s">
        <v>127</v>
      </c>
      <c r="R184" s="129">
        <v>0</v>
      </c>
    </row>
    <row r="185" spans="1:18" s="122" customFormat="1" x14ac:dyDescent="0.2">
      <c r="A185" s="122" t="s">
        <v>442</v>
      </c>
      <c r="B185" s="123" t="s">
        <v>416</v>
      </c>
      <c r="C185" s="122">
        <v>34890491</v>
      </c>
      <c r="D185" s="124">
        <v>45958</v>
      </c>
      <c r="E185" s="124">
        <v>45177</v>
      </c>
      <c r="F185" s="115">
        <v>8817.60713283117</v>
      </c>
      <c r="G185" s="115">
        <v>3.2347999999999999</v>
      </c>
      <c r="H185" s="125">
        <v>28523.195553282269</v>
      </c>
      <c r="I185" s="126">
        <v>0.62170000000000003</v>
      </c>
      <c r="J185" s="127">
        <v>0.3</v>
      </c>
      <c r="K185" s="125">
        <v>12870.250792869019</v>
      </c>
      <c r="L185" s="128">
        <f t="shared" si="10"/>
        <v>8001.4349179266701</v>
      </c>
      <c r="M185" s="125">
        <v>15652.944760413247</v>
      </c>
      <c r="N185" s="128">
        <f t="shared" si="11"/>
        <v>4695.8834281239742</v>
      </c>
      <c r="O185" s="125">
        <v>12697.318346050644</v>
      </c>
      <c r="P185" s="128" t="s">
        <v>414</v>
      </c>
      <c r="Q185" s="122" t="s">
        <v>127</v>
      </c>
      <c r="R185" s="129">
        <v>0</v>
      </c>
    </row>
    <row r="186" spans="1:18" s="122" customFormat="1" x14ac:dyDescent="0.2">
      <c r="A186" s="122" t="s">
        <v>442</v>
      </c>
      <c r="B186" s="123" t="s">
        <v>416</v>
      </c>
      <c r="C186" s="122">
        <v>34890491</v>
      </c>
      <c r="D186" s="124">
        <v>45958</v>
      </c>
      <c r="E186" s="124">
        <v>45043</v>
      </c>
      <c r="F186" s="115">
        <v>4898.6706293506495</v>
      </c>
      <c r="G186" s="115">
        <v>3.2347999999999999</v>
      </c>
      <c r="H186" s="125">
        <v>15846.219751823481</v>
      </c>
      <c r="I186" s="126">
        <v>0.62170000000000003</v>
      </c>
      <c r="J186" s="127">
        <v>0.3</v>
      </c>
      <c r="K186" s="125">
        <v>5139.1287715624812</v>
      </c>
      <c r="L186" s="128">
        <f t="shared" si="10"/>
        <v>3194.9963572803949</v>
      </c>
      <c r="M186" s="125">
        <v>10707.090980261</v>
      </c>
      <c r="N186" s="128">
        <f t="shared" si="11"/>
        <v>3212.1272940783001</v>
      </c>
      <c r="O186" s="125">
        <v>6407.1236513586946</v>
      </c>
      <c r="P186" s="128" t="s">
        <v>414</v>
      </c>
      <c r="Q186" s="122" t="s">
        <v>127</v>
      </c>
      <c r="R186" s="129">
        <v>0</v>
      </c>
    </row>
    <row r="187" spans="1:18" s="122" customFormat="1" x14ac:dyDescent="0.2">
      <c r="A187" s="122" t="s">
        <v>442</v>
      </c>
      <c r="B187" s="123" t="s">
        <v>416</v>
      </c>
      <c r="C187" s="122">
        <v>34890491</v>
      </c>
      <c r="D187" s="124">
        <v>45958</v>
      </c>
      <c r="E187" s="124">
        <v>45177</v>
      </c>
      <c r="F187" s="115">
        <v>8817.60713283117</v>
      </c>
      <c r="G187" s="115">
        <v>3.2347999999999999</v>
      </c>
      <c r="H187" s="125">
        <v>28523.195553282269</v>
      </c>
      <c r="I187" s="126">
        <v>0.62170000000000003</v>
      </c>
      <c r="J187" s="127">
        <v>0.3</v>
      </c>
      <c r="K187" s="125">
        <v>12870.250792869019</v>
      </c>
      <c r="L187" s="128">
        <f t="shared" si="10"/>
        <v>8001.4349179266701</v>
      </c>
      <c r="M187" s="125">
        <v>15652.944760413247</v>
      </c>
      <c r="N187" s="128">
        <f t="shared" si="11"/>
        <v>4695.8834281239742</v>
      </c>
      <c r="O187" s="125">
        <v>12697.318346050644</v>
      </c>
      <c r="P187" s="128" t="s">
        <v>414</v>
      </c>
      <c r="Q187" s="122" t="s">
        <v>127</v>
      </c>
      <c r="R187" s="129">
        <v>0</v>
      </c>
    </row>
    <row r="188" spans="1:18" s="122" customFormat="1" x14ac:dyDescent="0.2">
      <c r="A188" s="122" t="s">
        <v>442</v>
      </c>
      <c r="B188" s="123" t="s">
        <v>416</v>
      </c>
      <c r="C188" s="122">
        <v>34890491</v>
      </c>
      <c r="D188" s="124">
        <v>45958</v>
      </c>
      <c r="E188" s="124">
        <v>45043</v>
      </c>
      <c r="F188" s="115">
        <v>4898.6706293506495</v>
      </c>
      <c r="G188" s="115">
        <v>3.2347999999999999</v>
      </c>
      <c r="H188" s="125">
        <v>15846.219751823481</v>
      </c>
      <c r="I188" s="126">
        <v>0.62170000000000003</v>
      </c>
      <c r="J188" s="127">
        <v>0.3</v>
      </c>
      <c r="K188" s="125">
        <v>5139.1287715624812</v>
      </c>
      <c r="L188" s="128">
        <f t="shared" si="10"/>
        <v>3194.9963572803949</v>
      </c>
      <c r="M188" s="125">
        <v>10707.090980261</v>
      </c>
      <c r="N188" s="128">
        <f t="shared" si="11"/>
        <v>3212.1272940783001</v>
      </c>
      <c r="O188" s="125">
        <v>6407.1236513586946</v>
      </c>
      <c r="P188" s="128" t="s">
        <v>414</v>
      </c>
      <c r="Q188" s="122" t="s">
        <v>127</v>
      </c>
      <c r="R188" s="129">
        <v>0</v>
      </c>
    </row>
    <row r="189" spans="1:18" s="122" customFormat="1" x14ac:dyDescent="0.2">
      <c r="A189" s="122" t="s">
        <v>442</v>
      </c>
      <c r="B189" s="123" t="s">
        <v>413</v>
      </c>
      <c r="C189" s="122">
        <v>34890491</v>
      </c>
      <c r="D189" s="124">
        <v>45958</v>
      </c>
      <c r="E189" s="124">
        <v>45092</v>
      </c>
      <c r="F189" s="115">
        <v>17246.287091909962</v>
      </c>
      <c r="G189" s="115">
        <v>3.2347999999999999</v>
      </c>
      <c r="H189" s="125">
        <f>F189*G189</f>
        <v>55788.289484910347</v>
      </c>
      <c r="I189" s="126">
        <v>0.62170000000000003</v>
      </c>
      <c r="J189" s="127">
        <v>0.3</v>
      </c>
      <c r="K189" s="125">
        <v>14311.026573550329</v>
      </c>
      <c r="L189" s="128">
        <f t="shared" si="10"/>
        <v>8897.1652207762399</v>
      </c>
      <c r="M189" s="125">
        <v>41477.26291136002</v>
      </c>
      <c r="N189" s="128">
        <f t="shared" si="11"/>
        <v>12443.178873408006</v>
      </c>
      <c r="O189" s="125">
        <v>21340.344094184245</v>
      </c>
      <c r="P189" s="128" t="s">
        <v>414</v>
      </c>
      <c r="Q189" s="122" t="s">
        <v>127</v>
      </c>
      <c r="R189" s="129">
        <v>0</v>
      </c>
    </row>
    <row r="190" spans="1:18" x14ac:dyDescent="0.2">
      <c r="B190" s="130"/>
      <c r="G190" s="132"/>
      <c r="H190" s="133"/>
      <c r="I190" s="134"/>
      <c r="J190" s="135"/>
      <c r="K190" s="133"/>
      <c r="L190" s="136"/>
      <c r="M190" s="133"/>
      <c r="N190" s="136"/>
      <c r="O190" s="133"/>
      <c r="P190" s="136"/>
      <c r="R190" s="137"/>
    </row>
    <row r="192" spans="1:18" x14ac:dyDescent="0.2">
      <c r="O192" s="138">
        <f>SUM(O2:O189)</f>
        <v>5075884.4614956714</v>
      </c>
      <c r="P192" t="s">
        <v>443</v>
      </c>
    </row>
    <row r="194" spans="15:16" x14ac:dyDescent="0.2">
      <c r="O194">
        <v>22</v>
      </c>
      <c r="P194" t="s">
        <v>444</v>
      </c>
    </row>
    <row r="196" spans="15:16" x14ac:dyDescent="0.2">
      <c r="O196" s="138">
        <f>O192-O194</f>
        <v>5075862.4614956714</v>
      </c>
      <c r="P196" t="s">
        <v>445</v>
      </c>
    </row>
  </sheetData>
  <autoFilter ref="A1:R196" xr:uid="{A717DF92-DCF5-4422-AFE5-2E9D296E983C}">
    <sortState xmlns:xlrd2="http://schemas.microsoft.com/office/spreadsheetml/2017/richdata2" ref="A145:R159">
      <sortCondition descending="1" ref="A1:A19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9D3F-4003-4718-AA3A-F79CCC87285A}">
  <sheetPr>
    <tabColor theme="6" tint="0.59999389629810485"/>
  </sheetPr>
  <dimension ref="A1:P39"/>
  <sheetViews>
    <sheetView rightToLeft="1" topLeftCell="D1" zoomScale="110" zoomScaleNormal="110" workbookViewId="0">
      <selection activeCell="G5" sqref="G5"/>
    </sheetView>
  </sheetViews>
  <sheetFormatPr baseColWidth="10" defaultColWidth="8.83203125" defaultRowHeight="15" x14ac:dyDescent="0.2"/>
  <cols>
    <col min="3" max="3" width="38.5" style="1" customWidth="1"/>
    <col min="4" max="4" width="10.6640625" bestFit="1" customWidth="1"/>
    <col min="5" max="5" width="8.6640625" customWidth="1"/>
    <col min="6" max="6" width="21.6640625" customWidth="1"/>
    <col min="7" max="7" width="11.33203125" customWidth="1"/>
    <col min="8" max="8" width="8.6640625" customWidth="1"/>
    <col min="9" max="9" width="26.83203125" customWidth="1"/>
    <col min="10" max="10" width="9.6640625" customWidth="1"/>
    <col min="11" max="11" width="9.33203125" customWidth="1"/>
    <col min="12" max="12" width="4" customWidth="1"/>
    <col min="13" max="13" width="8.6640625" customWidth="1"/>
    <col min="14" max="14" width="20.33203125" customWidth="1"/>
    <col min="15" max="15" width="11.1640625" bestFit="1" customWidth="1"/>
    <col min="16" max="16" width="9.6640625" bestFit="1" customWidth="1"/>
  </cols>
  <sheetData>
    <row r="1" spans="1:16" ht="16" thickBot="1" x14ac:dyDescent="0.25">
      <c r="A1" t="s">
        <v>0</v>
      </c>
    </row>
    <row r="2" spans="1:16" x14ac:dyDescent="0.2">
      <c r="C2" s="139" t="s">
        <v>446</v>
      </c>
      <c r="D2" s="160" t="str">
        <f>Client!A1</f>
        <v>No.</v>
      </c>
      <c r="E2" s="140"/>
      <c r="F2" s="140" t="s">
        <v>447</v>
      </c>
      <c r="G2" s="163" t="str">
        <f>System!C1</f>
        <v>מספר עובד</v>
      </c>
      <c r="I2" t="s">
        <v>448</v>
      </c>
      <c r="J2" s="158" t="s">
        <v>257</v>
      </c>
      <c r="N2" t="s">
        <v>449</v>
      </c>
      <c r="O2" s="158" t="s">
        <v>5</v>
      </c>
    </row>
    <row r="3" spans="1:16" x14ac:dyDescent="0.2">
      <c r="C3" s="141" t="s">
        <v>450</v>
      </c>
      <c r="D3" s="158" t="str">
        <f>Client!D1</f>
        <v>Employee's name</v>
      </c>
      <c r="F3" s="1" t="s">
        <v>451</v>
      </c>
      <c r="G3" s="164" t="str">
        <f>System!F1</f>
        <v>מספר רכיב</v>
      </c>
      <c r="I3" t="s">
        <v>452</v>
      </c>
      <c r="J3" s="158" t="s">
        <v>383</v>
      </c>
      <c r="N3" t="s">
        <v>453</v>
      </c>
      <c r="O3" s="158" t="s">
        <v>5</v>
      </c>
    </row>
    <row r="4" spans="1:16" x14ac:dyDescent="0.2">
      <c r="C4" s="141" t="s">
        <v>454</v>
      </c>
      <c r="D4" s="161">
        <v>5.4999999999999997E-3</v>
      </c>
      <c r="F4" s="1" t="s">
        <v>455</v>
      </c>
      <c r="G4" s="164" t="str">
        <f>System!G1</f>
        <v>שם רכיב שכר</v>
      </c>
      <c r="I4" t="s">
        <v>456</v>
      </c>
      <c r="J4" s="158" t="s">
        <v>385</v>
      </c>
      <c r="N4" t="s">
        <v>457</v>
      </c>
      <c r="O4" s="158" t="s">
        <v>396</v>
      </c>
    </row>
    <row r="5" spans="1:16" ht="16" thickBot="1" x14ac:dyDescent="0.25">
      <c r="C5" s="142"/>
      <c r="D5" s="162"/>
      <c r="E5" s="143"/>
      <c r="F5" s="144" t="s">
        <v>458</v>
      </c>
      <c r="G5" s="165" t="str">
        <f>System!H1</f>
        <v>סיכום ברוטו</v>
      </c>
      <c r="I5" t="s">
        <v>459</v>
      </c>
      <c r="J5" s="158" t="s">
        <v>386</v>
      </c>
    </row>
    <row r="7" spans="1:16" x14ac:dyDescent="0.2">
      <c r="C7" s="168" t="s">
        <v>460</v>
      </c>
      <c r="D7" s="168"/>
      <c r="F7" s="168" t="s">
        <v>461</v>
      </c>
      <c r="G7" s="168"/>
      <c r="I7" s="168" t="s">
        <v>462</v>
      </c>
      <c r="J7" s="168"/>
      <c r="K7" s="168"/>
      <c r="M7" s="169" t="s">
        <v>463</v>
      </c>
      <c r="N7" s="169"/>
      <c r="O7" s="169"/>
      <c r="P7" s="169"/>
    </row>
    <row r="8" spans="1:16" s="149" customFormat="1" x14ac:dyDescent="0.2">
      <c r="C8" s="148" t="s">
        <v>464</v>
      </c>
      <c r="D8" s="148" t="s">
        <v>465</v>
      </c>
      <c r="F8" s="148" t="s">
        <v>465</v>
      </c>
      <c r="G8" s="148" t="s">
        <v>464</v>
      </c>
      <c r="I8" s="148" t="s">
        <v>464</v>
      </c>
      <c r="J8" s="148" t="s">
        <v>465</v>
      </c>
      <c r="K8" s="148" t="s">
        <v>466</v>
      </c>
      <c r="M8" s="155" t="s">
        <v>470</v>
      </c>
      <c r="N8" s="155" t="s">
        <v>467</v>
      </c>
      <c r="O8" s="155" t="s">
        <v>468</v>
      </c>
      <c r="P8" s="155" t="s">
        <v>469</v>
      </c>
    </row>
    <row r="9" spans="1:16" ht="16" x14ac:dyDescent="0.2">
      <c r="C9" s="156" t="s">
        <v>15</v>
      </c>
      <c r="D9" s="157">
        <v>1</v>
      </c>
      <c r="F9" s="157">
        <v>25</v>
      </c>
      <c r="G9" t="str">
        <f>VLOOKUP(F9,System!F:G,2,0)</f>
        <v>פיצוי שווי</v>
      </c>
      <c r="I9" s="156" t="s">
        <v>19</v>
      </c>
      <c r="J9" s="157">
        <v>8</v>
      </c>
      <c r="K9" s="157">
        <v>1</v>
      </c>
      <c r="M9" s="159" t="s">
        <v>416</v>
      </c>
      <c r="N9" s="159" t="s">
        <v>404</v>
      </c>
      <c r="O9" s="159"/>
      <c r="P9" s="159">
        <v>15</v>
      </c>
    </row>
    <row r="10" spans="1:16" ht="16" x14ac:dyDescent="0.2">
      <c r="C10" s="156" t="s">
        <v>16</v>
      </c>
      <c r="D10" s="157">
        <v>6</v>
      </c>
      <c r="F10" s="157">
        <v>91</v>
      </c>
      <c r="G10" t="str">
        <f>VLOOKUP(F10,System!F:G,2,0)</f>
        <v>זק.השתלמות</v>
      </c>
      <c r="I10" s="156" t="s">
        <v>50</v>
      </c>
      <c r="J10" s="157">
        <v>9</v>
      </c>
      <c r="K10" s="157">
        <v>-1</v>
      </c>
      <c r="M10" s="159" t="s">
        <v>416</v>
      </c>
      <c r="N10" s="159" t="s">
        <v>405</v>
      </c>
      <c r="O10" s="159">
        <v>13</v>
      </c>
      <c r="P10" s="159"/>
    </row>
    <row r="11" spans="1:16" ht="16" x14ac:dyDescent="0.2">
      <c r="C11" s="156" t="s">
        <v>32</v>
      </c>
      <c r="D11" s="157">
        <v>3</v>
      </c>
      <c r="F11" s="157">
        <v>93</v>
      </c>
      <c r="G11" t="str">
        <f>VLOOKUP(F11,System!F:G,2,0)</f>
        <v>זק.תגמולים</v>
      </c>
      <c r="I11" s="156"/>
      <c r="J11" s="157"/>
      <c r="K11" s="157"/>
      <c r="M11" s="159" t="s">
        <v>416</v>
      </c>
      <c r="N11" s="159" t="s">
        <v>406</v>
      </c>
      <c r="O11" s="159"/>
      <c r="P11" s="159">
        <v>62</v>
      </c>
    </row>
    <row r="12" spans="1:16" ht="16" x14ac:dyDescent="0.2">
      <c r="C12" s="156" t="s">
        <v>22</v>
      </c>
      <c r="D12" s="157">
        <v>4</v>
      </c>
      <c r="F12" s="157">
        <v>15</v>
      </c>
      <c r="G12" t="str">
        <f>VLOOKUP(F12,System!F:G,2,0)</f>
        <v>שווי מניות פירותי</v>
      </c>
      <c r="I12" s="156"/>
      <c r="J12" s="157"/>
      <c r="K12" s="157"/>
      <c r="M12" s="159" t="s">
        <v>416</v>
      </c>
      <c r="N12" s="159" t="s">
        <v>407</v>
      </c>
      <c r="O12" s="159">
        <v>13</v>
      </c>
      <c r="P12" s="159"/>
    </row>
    <row r="13" spans="1:16" ht="16" x14ac:dyDescent="0.2">
      <c r="C13" s="156"/>
      <c r="D13" s="157"/>
      <c r="F13" s="157">
        <v>62</v>
      </c>
      <c r="G13" t="str">
        <f>VLOOKUP(F13,System!F:G,2,0)</f>
        <v>שווי מניות הוני 25%</v>
      </c>
      <c r="I13" s="156"/>
      <c r="J13" s="157"/>
      <c r="K13" s="157"/>
      <c r="M13" s="159"/>
      <c r="N13" s="159"/>
      <c r="O13" s="159"/>
      <c r="P13" s="159"/>
    </row>
    <row r="14" spans="1:16" ht="16" x14ac:dyDescent="0.2">
      <c r="C14" s="156" t="s">
        <v>24</v>
      </c>
      <c r="D14" s="157">
        <v>5</v>
      </c>
      <c r="F14" s="157"/>
      <c r="G14" t="e">
        <f>VLOOKUP(F14,System!F:G,2,0)</f>
        <v>#N/A</v>
      </c>
      <c r="I14" s="156"/>
      <c r="J14" s="157"/>
      <c r="K14" s="157"/>
      <c r="M14" s="159" t="s">
        <v>413</v>
      </c>
      <c r="N14" s="159" t="s">
        <v>404</v>
      </c>
      <c r="O14" s="159"/>
      <c r="P14" s="159">
        <v>61</v>
      </c>
    </row>
    <row r="15" spans="1:16" ht="16" x14ac:dyDescent="0.2">
      <c r="C15" s="156" t="s">
        <v>25</v>
      </c>
      <c r="D15" s="157">
        <v>22</v>
      </c>
      <c r="F15" s="157"/>
      <c r="G15" t="e">
        <f>VLOOKUP(F15,System!F:G,2,0)</f>
        <v>#N/A</v>
      </c>
      <c r="I15" s="156"/>
      <c r="J15" s="157"/>
      <c r="K15" s="157"/>
      <c r="M15" s="159" t="s">
        <v>413</v>
      </c>
      <c r="N15" s="159" t="s">
        <v>405</v>
      </c>
      <c r="O15" s="159">
        <v>16</v>
      </c>
      <c r="P15" s="159"/>
    </row>
    <row r="16" spans="1:16" ht="16" x14ac:dyDescent="0.2">
      <c r="C16" s="156" t="s">
        <v>26</v>
      </c>
      <c r="D16" s="157">
        <v>9</v>
      </c>
      <c r="F16" s="157"/>
      <c r="G16" t="e">
        <f>VLOOKUP(F16,System!F:G,2,0)</f>
        <v>#N/A</v>
      </c>
      <c r="I16" s="156"/>
      <c r="J16" s="157"/>
      <c r="K16" s="157"/>
      <c r="M16" s="159" t="s">
        <v>413</v>
      </c>
      <c r="N16" s="159" t="s">
        <v>406</v>
      </c>
      <c r="O16" s="159"/>
      <c r="P16" s="159">
        <v>75</v>
      </c>
    </row>
    <row r="17" spans="3:16" ht="16" x14ac:dyDescent="0.2">
      <c r="C17" s="156" t="s">
        <v>31</v>
      </c>
      <c r="D17" s="157">
        <v>51</v>
      </c>
      <c r="F17" s="158"/>
      <c r="G17" t="e">
        <f>VLOOKUP(F17,System!F:G,2,0)</f>
        <v>#N/A</v>
      </c>
      <c r="I17" s="156"/>
      <c r="J17" s="157"/>
      <c r="K17" s="157"/>
      <c r="M17" s="159" t="s">
        <v>413</v>
      </c>
      <c r="N17" s="159" t="s">
        <v>407</v>
      </c>
      <c r="O17" s="159">
        <v>16</v>
      </c>
      <c r="P17" s="159"/>
    </row>
    <row r="18" spans="3:16" ht="16" x14ac:dyDescent="0.2">
      <c r="C18" s="156" t="s">
        <v>32</v>
      </c>
      <c r="D18" s="157">
        <v>24</v>
      </c>
      <c r="F18" s="158"/>
      <c r="G18" t="e">
        <f>VLOOKUP(F18,System!F:G,2,0)</f>
        <v>#N/A</v>
      </c>
      <c r="I18" s="158"/>
      <c r="J18" s="158"/>
      <c r="K18" s="158"/>
      <c r="M18" s="158"/>
      <c r="N18" s="158"/>
      <c r="O18" s="158"/>
      <c r="P18" s="158"/>
    </row>
    <row r="19" spans="3:16" ht="16" x14ac:dyDescent="0.2">
      <c r="C19" s="156" t="s">
        <v>33</v>
      </c>
      <c r="D19" s="157">
        <v>24</v>
      </c>
      <c r="F19" s="158"/>
      <c r="G19" t="e">
        <f>VLOOKUP(F19,System!F:G,2,0)</f>
        <v>#N/A</v>
      </c>
      <c r="I19" s="158"/>
      <c r="J19" s="158"/>
      <c r="K19" s="158"/>
      <c r="M19" s="158"/>
      <c r="N19" s="158"/>
      <c r="O19" s="158"/>
      <c r="P19" s="158"/>
    </row>
    <row r="20" spans="3:16" ht="16" x14ac:dyDescent="0.2">
      <c r="C20" s="156" t="s">
        <v>34</v>
      </c>
      <c r="D20" s="157">
        <v>24</v>
      </c>
      <c r="F20" s="158"/>
      <c r="G20" t="e">
        <f>VLOOKUP(F20,System!F:G,2,0)</f>
        <v>#N/A</v>
      </c>
      <c r="I20" s="158"/>
      <c r="J20" s="158"/>
      <c r="K20" s="158"/>
      <c r="M20" s="158"/>
      <c r="N20" s="158"/>
      <c r="O20" s="158"/>
      <c r="P20" s="158"/>
    </row>
    <row r="21" spans="3:16" ht="16" x14ac:dyDescent="0.2">
      <c r="C21" s="156" t="s">
        <v>35</v>
      </c>
      <c r="D21" s="157">
        <v>24</v>
      </c>
      <c r="F21" s="158"/>
      <c r="G21" t="e">
        <f>VLOOKUP(F21,System!F:G,2,0)</f>
        <v>#N/A</v>
      </c>
      <c r="I21" s="158"/>
      <c r="J21" s="158"/>
      <c r="K21" s="158"/>
      <c r="M21" s="158"/>
      <c r="N21" s="158"/>
      <c r="O21" s="158"/>
      <c r="P21" s="158"/>
    </row>
    <row r="22" spans="3:16" ht="16" x14ac:dyDescent="0.2">
      <c r="C22" s="156"/>
      <c r="D22" s="157"/>
      <c r="F22" s="158"/>
      <c r="G22" t="e">
        <f>VLOOKUP(F22,System!F:G,2,0)</f>
        <v>#N/A</v>
      </c>
      <c r="I22" s="158"/>
      <c r="J22" s="158"/>
      <c r="K22" s="158"/>
      <c r="M22" s="158"/>
      <c r="N22" s="158"/>
      <c r="O22" s="158"/>
      <c r="P22" s="158"/>
    </row>
    <row r="23" spans="3:16" ht="16" x14ac:dyDescent="0.2">
      <c r="C23" s="156"/>
      <c r="D23" s="157"/>
      <c r="F23" s="158"/>
      <c r="G23" t="e">
        <f>VLOOKUP(F23,System!F:G,2,0)</f>
        <v>#N/A</v>
      </c>
      <c r="I23" s="158"/>
      <c r="J23" s="158"/>
      <c r="K23" s="158"/>
      <c r="M23" s="158"/>
      <c r="N23" s="158"/>
      <c r="O23" s="158"/>
      <c r="P23" s="158"/>
    </row>
    <row r="24" spans="3:16" ht="16" x14ac:dyDescent="0.2">
      <c r="C24" s="156"/>
      <c r="D24" s="157"/>
      <c r="F24" s="158"/>
      <c r="G24" t="e">
        <f>VLOOKUP(F24,System!F:G,2,0)</f>
        <v>#N/A</v>
      </c>
      <c r="I24" s="158"/>
      <c r="J24" s="158"/>
      <c r="K24" s="158"/>
      <c r="M24" s="158"/>
      <c r="N24" s="158"/>
      <c r="O24" s="158"/>
      <c r="P24" s="158"/>
    </row>
    <row r="25" spans="3:16" ht="16" x14ac:dyDescent="0.2">
      <c r="C25" s="156"/>
      <c r="D25" s="157"/>
      <c r="F25" s="158"/>
      <c r="I25" s="158"/>
      <c r="J25" s="158"/>
      <c r="K25" s="158"/>
      <c r="M25" s="158"/>
      <c r="N25" s="158"/>
      <c r="O25" s="158"/>
      <c r="P25" s="158"/>
    </row>
    <row r="26" spans="3:16" ht="16" x14ac:dyDescent="0.2">
      <c r="C26" s="156"/>
      <c r="D26" s="157"/>
      <c r="F26" s="158"/>
      <c r="I26" s="158"/>
      <c r="J26" s="158"/>
      <c r="K26" s="158"/>
      <c r="M26" s="158"/>
      <c r="N26" s="158"/>
      <c r="O26" s="158"/>
      <c r="P26" s="158"/>
    </row>
    <row r="27" spans="3:16" ht="16" x14ac:dyDescent="0.2">
      <c r="C27" s="156"/>
      <c r="D27" s="157"/>
      <c r="F27" s="158"/>
      <c r="I27" s="158"/>
      <c r="J27" s="158"/>
      <c r="K27" s="158"/>
      <c r="M27" s="158"/>
      <c r="N27" s="158"/>
      <c r="O27" s="158"/>
      <c r="P27" s="158"/>
    </row>
    <row r="28" spans="3:16" ht="16" x14ac:dyDescent="0.2">
      <c r="C28" s="156"/>
      <c r="D28" s="157"/>
      <c r="F28" s="158"/>
      <c r="I28" s="158"/>
      <c r="J28" s="158"/>
      <c r="K28" s="158"/>
      <c r="M28" s="158"/>
      <c r="N28" s="158"/>
      <c r="O28" s="158"/>
      <c r="P28" s="158"/>
    </row>
    <row r="29" spans="3:16" ht="16" x14ac:dyDescent="0.2">
      <c r="C29" s="156"/>
      <c r="D29" s="157"/>
      <c r="F29" s="158"/>
      <c r="I29" s="158"/>
      <c r="J29" s="158"/>
      <c r="K29" s="158"/>
      <c r="M29" s="158"/>
      <c r="N29" s="158"/>
      <c r="O29" s="158"/>
      <c r="P29" s="158"/>
    </row>
    <row r="30" spans="3:16" ht="16" x14ac:dyDescent="0.2">
      <c r="C30" s="156"/>
      <c r="D30" s="157"/>
      <c r="F30" s="158"/>
      <c r="I30" s="158"/>
      <c r="J30" s="158"/>
      <c r="K30" s="158"/>
      <c r="M30" s="158"/>
      <c r="N30" s="158"/>
      <c r="O30" s="158"/>
      <c r="P30" s="158"/>
    </row>
    <row r="31" spans="3:16" ht="16" x14ac:dyDescent="0.2">
      <c r="C31" s="2"/>
      <c r="D31" s="3"/>
    </row>
    <row r="32" spans="3:16" ht="16" x14ac:dyDescent="0.2">
      <c r="C32" s="2"/>
      <c r="D32" s="3"/>
    </row>
    <row r="33" spans="3:4" ht="16" x14ac:dyDescent="0.2">
      <c r="C33" s="2"/>
      <c r="D33" s="3"/>
    </row>
    <row r="34" spans="3:4" ht="16" x14ac:dyDescent="0.2">
      <c r="C34" s="2"/>
      <c r="D34" s="3"/>
    </row>
    <row r="35" spans="3:4" ht="16" x14ac:dyDescent="0.2">
      <c r="C35" s="2"/>
      <c r="D35" s="3"/>
    </row>
    <row r="36" spans="3:4" ht="16" x14ac:dyDescent="0.2">
      <c r="C36" s="2"/>
      <c r="D36" s="3"/>
    </row>
    <row r="37" spans="3:4" ht="16" x14ac:dyDescent="0.2">
      <c r="C37" s="2"/>
      <c r="D37" s="3"/>
    </row>
    <row r="38" spans="3:4" ht="16" x14ac:dyDescent="0.2">
      <c r="C38" s="2"/>
      <c r="D38" s="3"/>
    </row>
    <row r="39" spans="3:4" ht="16" x14ac:dyDescent="0.2">
      <c r="C39" s="2"/>
      <c r="D39" s="3"/>
    </row>
  </sheetData>
  <mergeCells count="4">
    <mergeCell ref="F7:G7"/>
    <mergeCell ref="C7:D7"/>
    <mergeCell ref="I7:K7"/>
    <mergeCell ref="M7:P7"/>
  </mergeCells>
  <dataValidations count="1">
    <dataValidation type="list" allowBlank="1" showInputMessage="1" showErrorMessage="1" sqref="K9:K49" xr:uid="{00248226-79E8-45BB-A429-2FD2D1B8E435}">
      <formula1>"1,-1"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B687-1E3D-48AA-AEEF-AFB9A3BCE615}">
  <sheetPr>
    <tabColor theme="5" tint="-0.249977111117893"/>
  </sheetPr>
  <dimension ref="A1:I214"/>
  <sheetViews>
    <sheetView rightToLeft="1"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14.6640625" bestFit="1" customWidth="1"/>
    <col min="2" max="2" width="14.33203125" bestFit="1" customWidth="1"/>
    <col min="3" max="3" width="14.6640625" bestFit="1" customWidth="1"/>
    <col min="4" max="4" width="11.83203125" style="145" bestFit="1" customWidth="1"/>
    <col min="7" max="7" width="16.5" bestFit="1" customWidth="1"/>
    <col min="8" max="8" width="12.33203125" style="145" bestFit="1" customWidth="1"/>
    <col min="9" max="9" width="12.1640625" style="145" bestFit="1" customWidth="1"/>
  </cols>
  <sheetData>
    <row r="1" spans="1:9" s="146" customFormat="1" x14ac:dyDescent="0.2">
      <c r="A1" s="146" t="str" cm="1">
        <f t="array" ref="A1:H214">_xlfn._xlws.PY(0,0,EmpID,EmpName,SysEmpID,SysCode,SysItemName,SysValue,MinDiff,ClientData,SystemData,Codes,IgnoreCodes)</f>
        <v>No.</v>
      </c>
      <c r="B1" s="146" t="str">
        <v>Employee's name</v>
      </c>
      <c r="C1" s="146" t="str">
        <v>Code</v>
      </c>
      <c r="D1" s="147" t="str">
        <v>value</v>
      </c>
      <c r="E1" s="146" t="str">
        <v>מספר עובד</v>
      </c>
      <c r="F1" s="146" t="str">
        <v>מספר רכיב</v>
      </c>
      <c r="G1" s="146" t="str">
        <v>שם רכיב שכר</v>
      </c>
      <c r="H1" s="147" t="str">
        <v>סיכום ברוטו</v>
      </c>
      <c r="I1" s="147"/>
    </row>
    <row r="2" spans="1:9" x14ac:dyDescent="0.2">
      <c r="A2">
        <v>4</v>
      </c>
      <c r="B2" t="str">
        <v>Leonid Geldin</v>
      </c>
      <c r="C2">
        <v>3</v>
      </c>
      <c r="D2" s="152">
        <v>115</v>
      </c>
      <c r="E2">
        <v>4</v>
      </c>
      <c r="F2">
        <v>3</v>
      </c>
      <c r="G2" t="str">
        <v>טלפון</v>
      </c>
      <c r="H2" s="152">
        <v>230</v>
      </c>
    </row>
    <row r="3" spans="1:9" x14ac:dyDescent="0.2">
      <c r="A3">
        <v>4</v>
      </c>
      <c r="B3" t="str">
        <v>Leonid Geldin</v>
      </c>
      <c r="C3">
        <v>24</v>
      </c>
      <c r="D3" s="145">
        <v>1115</v>
      </c>
      <c r="E3">
        <v>4</v>
      </c>
      <c r="F3">
        <v>24</v>
      </c>
      <c r="G3" t="str">
        <v>שווי ארוחות</v>
      </c>
      <c r="H3" s="145">
        <v>1000</v>
      </c>
    </row>
    <row r="4" spans="1:9" x14ac:dyDescent="0.2">
      <c r="A4">
        <v>6</v>
      </c>
      <c r="B4" t="str">
        <v>Nadav Pozmantir</v>
      </c>
      <c r="C4">
        <v>3</v>
      </c>
      <c r="D4" s="145">
        <v>115</v>
      </c>
      <c r="E4">
        <v>6</v>
      </c>
      <c r="F4">
        <v>3</v>
      </c>
      <c r="G4" t="str">
        <v>טלפון</v>
      </c>
      <c r="H4" s="145">
        <v>230</v>
      </c>
    </row>
    <row r="5" spans="1:9" x14ac:dyDescent="0.2">
      <c r="A5">
        <v>6</v>
      </c>
      <c r="B5" t="str">
        <v>Nadav Pozmantir</v>
      </c>
      <c r="C5">
        <v>24</v>
      </c>
      <c r="D5" s="145">
        <v>1115</v>
      </c>
      <c r="E5">
        <v>6</v>
      </c>
      <c r="F5">
        <v>24</v>
      </c>
      <c r="G5" t="str">
        <v>שווי ארוחות</v>
      </c>
      <c r="H5" s="145">
        <v>1000</v>
      </c>
    </row>
    <row r="6" spans="1:9" x14ac:dyDescent="0.2">
      <c r="A6">
        <v>8</v>
      </c>
      <c r="B6" t="str">
        <v>Ido Katz</v>
      </c>
      <c r="C6">
        <v>3</v>
      </c>
      <c r="D6" s="145">
        <v>115</v>
      </c>
      <c r="E6">
        <v>8</v>
      </c>
      <c r="F6">
        <v>3</v>
      </c>
      <c r="G6" t="str">
        <v>טלפון</v>
      </c>
      <c r="H6" s="145">
        <v>230</v>
      </c>
    </row>
    <row r="7" spans="1:9" x14ac:dyDescent="0.2">
      <c r="A7">
        <v>8</v>
      </c>
      <c r="B7" t="str">
        <v>Ido Katz</v>
      </c>
      <c r="C7">
        <v>24</v>
      </c>
      <c r="D7" s="145">
        <v>1115</v>
      </c>
      <c r="E7">
        <v>8</v>
      </c>
      <c r="F7">
        <v>24</v>
      </c>
      <c r="G7" t="str">
        <v>שווי ארוחות</v>
      </c>
      <c r="H7" s="145">
        <v>1000</v>
      </c>
    </row>
    <row r="8" spans="1:9" x14ac:dyDescent="0.2">
      <c r="A8">
        <v>11</v>
      </c>
      <c r="B8" t="str">
        <v>Elad Kolberg</v>
      </c>
      <c r="C8">
        <v>3</v>
      </c>
      <c r="D8" s="145">
        <v>115</v>
      </c>
      <c r="E8">
        <v>11</v>
      </c>
      <c r="F8">
        <v>3</v>
      </c>
      <c r="G8" t="str">
        <v>טלפון</v>
      </c>
      <c r="H8" s="145">
        <v>230</v>
      </c>
    </row>
    <row r="9" spans="1:9" x14ac:dyDescent="0.2">
      <c r="A9">
        <v>11</v>
      </c>
      <c r="B9" t="str">
        <v>Elad Kolberg</v>
      </c>
      <c r="C9">
        <v>24</v>
      </c>
      <c r="D9" s="145">
        <v>1115</v>
      </c>
      <c r="E9">
        <v>11</v>
      </c>
      <c r="F9">
        <v>24</v>
      </c>
      <c r="G9" t="str">
        <v>שווי ארוחות</v>
      </c>
      <c r="H9" s="145">
        <v>1000</v>
      </c>
    </row>
    <row r="10" spans="1:9" x14ac:dyDescent="0.2">
      <c r="A10">
        <v>12</v>
      </c>
      <c r="B10" t="str">
        <v>Ariel Nemtzov</v>
      </c>
      <c r="C10">
        <v>3</v>
      </c>
      <c r="D10" s="145">
        <v>115</v>
      </c>
      <c r="E10">
        <v>12</v>
      </c>
      <c r="F10">
        <v>3</v>
      </c>
      <c r="G10" t="str">
        <v>טלפון</v>
      </c>
      <c r="H10" s="145">
        <v>281.12</v>
      </c>
    </row>
    <row r="11" spans="1:9" x14ac:dyDescent="0.2">
      <c r="A11">
        <v>12</v>
      </c>
      <c r="B11" t="str">
        <v>Ariel Nemtzov</v>
      </c>
      <c r="C11">
        <v>24</v>
      </c>
      <c r="D11" s="145">
        <v>1115</v>
      </c>
      <c r="E11">
        <v>12</v>
      </c>
      <c r="F11">
        <v>24</v>
      </c>
      <c r="G11" t="str">
        <v>שווי ארוחות</v>
      </c>
      <c r="H11" s="145">
        <v>1000</v>
      </c>
    </row>
    <row r="12" spans="1:9" x14ac:dyDescent="0.2">
      <c r="A12">
        <v>14</v>
      </c>
      <c r="B12" t="str">
        <v>Danny Sabag</v>
      </c>
      <c r="C12">
        <v>3</v>
      </c>
      <c r="D12" s="145">
        <v>115</v>
      </c>
      <c r="E12">
        <v>14</v>
      </c>
      <c r="F12">
        <v>3</v>
      </c>
      <c r="G12" t="str">
        <v>טלפון</v>
      </c>
      <c r="H12" s="145">
        <v>304.02999999999997</v>
      </c>
    </row>
    <row r="13" spans="1:9" x14ac:dyDescent="0.2">
      <c r="A13">
        <v>14</v>
      </c>
      <c r="B13" t="str">
        <v>Danny Sabag</v>
      </c>
      <c r="C13">
        <v>24</v>
      </c>
      <c r="D13" s="145">
        <v>1114.96</v>
      </c>
      <c r="E13">
        <v>14</v>
      </c>
      <c r="F13">
        <v>24</v>
      </c>
      <c r="G13" t="str">
        <v>שווי ארוחות</v>
      </c>
      <c r="H13" s="145">
        <v>999.96</v>
      </c>
    </row>
    <row r="14" spans="1:9" x14ac:dyDescent="0.2">
      <c r="A14">
        <v>15</v>
      </c>
      <c r="B14" t="str">
        <v>Oz Molaim</v>
      </c>
      <c r="C14">
        <v>3</v>
      </c>
      <c r="D14" s="145">
        <v>115</v>
      </c>
      <c r="E14">
        <v>15</v>
      </c>
      <c r="F14">
        <v>3</v>
      </c>
      <c r="G14" t="str">
        <v>טלפון</v>
      </c>
      <c r="H14" s="145">
        <v>303.98</v>
      </c>
    </row>
    <row r="15" spans="1:9" x14ac:dyDescent="0.2">
      <c r="A15">
        <v>15</v>
      </c>
      <c r="B15" t="str">
        <v>Oz Molaim</v>
      </c>
      <c r="C15">
        <v>4</v>
      </c>
      <c r="D15" s="145">
        <v>315</v>
      </c>
      <c r="E15">
        <v>15</v>
      </c>
      <c r="F15">
        <v>4</v>
      </c>
      <c r="G15" t="str">
        <v>נסיעות</v>
      </c>
      <c r="H15" s="145">
        <v>452</v>
      </c>
    </row>
    <row r="16" spans="1:9" x14ac:dyDescent="0.2">
      <c r="A16">
        <v>0</v>
      </c>
      <c r="B16">
        <v>0</v>
      </c>
      <c r="C16">
        <v>0</v>
      </c>
      <c r="D16" s="145">
        <v>0</v>
      </c>
      <c r="E16">
        <v>15</v>
      </c>
      <c r="F16">
        <v>14</v>
      </c>
      <c r="G16" t="str">
        <v>תשלום הפרש מילואים</v>
      </c>
      <c r="H16" s="145">
        <v>4957.79</v>
      </c>
    </row>
    <row r="17" spans="1:8" x14ac:dyDescent="0.2">
      <c r="A17">
        <v>15</v>
      </c>
      <c r="B17" t="str">
        <v>Oz Molaim</v>
      </c>
      <c r="C17">
        <v>24</v>
      </c>
      <c r="D17" s="145">
        <v>1055.5</v>
      </c>
      <c r="E17">
        <v>15</v>
      </c>
      <c r="F17">
        <v>24</v>
      </c>
      <c r="G17" t="str">
        <v>שווי ארוחות</v>
      </c>
      <c r="H17" s="145">
        <v>940.5</v>
      </c>
    </row>
    <row r="18" spans="1:8" x14ac:dyDescent="0.2">
      <c r="A18">
        <v>16</v>
      </c>
      <c r="B18" t="str">
        <v>Maya Zax</v>
      </c>
      <c r="C18">
        <v>3</v>
      </c>
      <c r="D18" s="145">
        <v>115</v>
      </c>
      <c r="E18">
        <v>16</v>
      </c>
      <c r="F18">
        <v>3</v>
      </c>
      <c r="G18" t="str">
        <v>טלפון</v>
      </c>
      <c r="H18" s="145">
        <v>218.47</v>
      </c>
    </row>
    <row r="19" spans="1:8" x14ac:dyDescent="0.2">
      <c r="A19">
        <v>16</v>
      </c>
      <c r="B19" t="str">
        <v>Maya Zax</v>
      </c>
      <c r="C19">
        <v>24</v>
      </c>
      <c r="D19" s="145">
        <v>815</v>
      </c>
      <c r="E19">
        <v>16</v>
      </c>
      <c r="F19">
        <v>24</v>
      </c>
      <c r="G19" t="str">
        <v>שווי ארוחות</v>
      </c>
      <c r="H19" s="145">
        <v>700</v>
      </c>
    </row>
    <row r="20" spans="1:8" x14ac:dyDescent="0.2">
      <c r="A20">
        <v>17</v>
      </c>
      <c r="B20" t="str">
        <v xml:space="preserve">Adi Adrai </v>
      </c>
      <c r="C20">
        <v>3</v>
      </c>
      <c r="D20" s="145">
        <v>115</v>
      </c>
      <c r="E20">
        <v>17</v>
      </c>
      <c r="F20">
        <v>3</v>
      </c>
      <c r="G20" t="str">
        <v>טלפון</v>
      </c>
      <c r="H20" s="145">
        <v>230</v>
      </c>
    </row>
    <row r="21" spans="1:8" x14ac:dyDescent="0.2">
      <c r="A21">
        <v>17</v>
      </c>
      <c r="B21" t="str">
        <v xml:space="preserve">Adi Adrai </v>
      </c>
      <c r="C21">
        <v>24</v>
      </c>
      <c r="D21" s="145">
        <v>853</v>
      </c>
      <c r="E21">
        <v>17</v>
      </c>
      <c r="F21">
        <v>24</v>
      </c>
      <c r="G21" t="str">
        <v>שווי ארוחות</v>
      </c>
      <c r="H21" s="145">
        <v>738</v>
      </c>
    </row>
    <row r="22" spans="1:8" x14ac:dyDescent="0.2">
      <c r="A22">
        <v>21</v>
      </c>
      <c r="B22" t="str">
        <v>Esther Shteinberg</v>
      </c>
      <c r="C22">
        <v>3</v>
      </c>
      <c r="D22" s="145">
        <v>115</v>
      </c>
      <c r="E22">
        <v>21</v>
      </c>
      <c r="F22">
        <v>3</v>
      </c>
      <c r="G22" t="str">
        <v>טלפון</v>
      </c>
      <c r="H22" s="145">
        <v>303.97000000000003</v>
      </c>
    </row>
    <row r="23" spans="1:8" x14ac:dyDescent="0.2">
      <c r="A23">
        <v>21</v>
      </c>
      <c r="B23" t="str">
        <v>Esther Shteinberg</v>
      </c>
      <c r="C23">
        <v>24</v>
      </c>
      <c r="D23" s="145">
        <v>1115</v>
      </c>
      <c r="E23">
        <v>21</v>
      </c>
      <c r="F23">
        <v>24</v>
      </c>
      <c r="G23" t="str">
        <v>שווי ארוחות</v>
      </c>
      <c r="H23" s="145">
        <v>1000</v>
      </c>
    </row>
    <row r="24" spans="1:8" x14ac:dyDescent="0.2">
      <c r="A24">
        <v>22</v>
      </c>
      <c r="B24" t="str">
        <v xml:space="preserve">Adam Hudeda </v>
      </c>
      <c r="C24">
        <v>3</v>
      </c>
      <c r="D24" s="145">
        <v>115</v>
      </c>
      <c r="E24">
        <v>22</v>
      </c>
      <c r="F24">
        <v>3</v>
      </c>
      <c r="G24" t="str">
        <v>טלפון</v>
      </c>
      <c r="H24" s="145">
        <v>303.98</v>
      </c>
    </row>
    <row r="25" spans="1:8" ht="13" customHeight="1" x14ac:dyDescent="0.2">
      <c r="A25">
        <v>22</v>
      </c>
      <c r="B25" t="str">
        <v xml:space="preserve">Adam Hudeda </v>
      </c>
      <c r="C25">
        <v>4</v>
      </c>
      <c r="D25" s="145">
        <v>315</v>
      </c>
      <c r="E25">
        <v>22</v>
      </c>
      <c r="F25">
        <v>4</v>
      </c>
      <c r="G25" t="str">
        <v>נסיעות</v>
      </c>
      <c r="H25" s="145">
        <v>452</v>
      </c>
    </row>
    <row r="26" spans="1:8" x14ac:dyDescent="0.2">
      <c r="A26">
        <v>22</v>
      </c>
      <c r="B26" t="str">
        <v xml:space="preserve">Adam Hudeda </v>
      </c>
      <c r="C26">
        <v>24</v>
      </c>
      <c r="D26" s="145">
        <v>1115</v>
      </c>
      <c r="E26">
        <v>22</v>
      </c>
      <c r="F26">
        <v>24</v>
      </c>
      <c r="G26" t="str">
        <v>שווי ארוחות</v>
      </c>
      <c r="H26" s="145">
        <v>1000</v>
      </c>
    </row>
    <row r="27" spans="1:8" x14ac:dyDescent="0.2">
      <c r="A27">
        <v>23</v>
      </c>
      <c r="B27" t="str">
        <v>Ofer Yarom</v>
      </c>
      <c r="C27">
        <v>3</v>
      </c>
      <c r="D27" s="145">
        <v>115</v>
      </c>
      <c r="E27">
        <v>23</v>
      </c>
      <c r="F27">
        <v>3</v>
      </c>
      <c r="G27" t="str">
        <v>טלפון</v>
      </c>
      <c r="H27" s="145">
        <v>230</v>
      </c>
    </row>
    <row r="28" spans="1:8" x14ac:dyDescent="0.2">
      <c r="A28">
        <v>23</v>
      </c>
      <c r="B28" t="str">
        <v>Ofer Yarom</v>
      </c>
      <c r="C28">
        <v>24</v>
      </c>
      <c r="D28" s="145">
        <v>1110.72</v>
      </c>
      <c r="E28">
        <v>23</v>
      </c>
      <c r="F28">
        <v>24</v>
      </c>
      <c r="G28" t="str">
        <v>שווי ארוחות</v>
      </c>
      <c r="H28" s="145">
        <v>995.72</v>
      </c>
    </row>
    <row r="29" spans="1:8" x14ac:dyDescent="0.2">
      <c r="A29">
        <v>24</v>
      </c>
      <c r="B29" t="str">
        <v>Lilach Wimisiner</v>
      </c>
      <c r="C29">
        <v>3</v>
      </c>
      <c r="D29" s="145">
        <v>115</v>
      </c>
      <c r="E29">
        <v>24</v>
      </c>
      <c r="F29">
        <v>3</v>
      </c>
      <c r="G29" t="str">
        <v>טלפון</v>
      </c>
      <c r="H29" s="145">
        <v>304</v>
      </c>
    </row>
    <row r="30" spans="1:8" x14ac:dyDescent="0.2">
      <c r="A30">
        <v>24</v>
      </c>
      <c r="B30" t="str">
        <v>Lilach Wimisiner</v>
      </c>
      <c r="C30">
        <v>24</v>
      </c>
      <c r="D30" s="145">
        <v>1082.96</v>
      </c>
      <c r="E30">
        <v>24</v>
      </c>
      <c r="F30">
        <v>24</v>
      </c>
      <c r="G30" t="str">
        <v>שווי ארוחות</v>
      </c>
      <c r="H30" s="145">
        <v>967.96</v>
      </c>
    </row>
    <row r="31" spans="1:8" x14ac:dyDescent="0.2">
      <c r="A31">
        <v>26</v>
      </c>
      <c r="B31" t="str">
        <v>Dani Rubin</v>
      </c>
      <c r="C31">
        <v>3</v>
      </c>
      <c r="D31" s="145">
        <v>115</v>
      </c>
      <c r="E31">
        <v>26</v>
      </c>
      <c r="F31">
        <v>3</v>
      </c>
      <c r="G31" t="str">
        <v>טלפון</v>
      </c>
      <c r="H31" s="145">
        <v>304</v>
      </c>
    </row>
    <row r="32" spans="1:8" x14ac:dyDescent="0.2">
      <c r="A32">
        <v>0</v>
      </c>
      <c r="B32">
        <v>0</v>
      </c>
      <c r="C32">
        <v>0</v>
      </c>
      <c r="D32" s="145">
        <v>0</v>
      </c>
      <c r="E32">
        <v>26</v>
      </c>
      <c r="F32">
        <v>14</v>
      </c>
      <c r="G32" t="str">
        <v>תשלום הפרש מילואים</v>
      </c>
      <c r="H32" s="145">
        <v>2308</v>
      </c>
    </row>
    <row r="33" spans="1:8" x14ac:dyDescent="0.2">
      <c r="A33">
        <v>26</v>
      </c>
      <c r="B33" t="str">
        <v>Dani Rubin</v>
      </c>
      <c r="C33">
        <v>24</v>
      </c>
      <c r="D33" s="145">
        <v>1115</v>
      </c>
      <c r="E33">
        <v>26</v>
      </c>
      <c r="F33">
        <v>24</v>
      </c>
      <c r="G33" t="str">
        <v>שווי ארוחות</v>
      </c>
      <c r="H33" s="145">
        <v>1000</v>
      </c>
    </row>
    <row r="34" spans="1:8" x14ac:dyDescent="0.2">
      <c r="A34">
        <v>27</v>
      </c>
      <c r="B34" t="str">
        <v>Jonathan Assayag</v>
      </c>
      <c r="C34">
        <v>3</v>
      </c>
      <c r="D34" s="145">
        <v>115</v>
      </c>
      <c r="E34">
        <v>27</v>
      </c>
      <c r="F34">
        <v>3</v>
      </c>
      <c r="G34" t="str">
        <v>טלפון</v>
      </c>
      <c r="H34" s="145">
        <v>303.97000000000003</v>
      </c>
    </row>
    <row r="35" spans="1:8" x14ac:dyDescent="0.2">
      <c r="A35">
        <v>0</v>
      </c>
      <c r="B35">
        <v>0</v>
      </c>
      <c r="C35">
        <v>0</v>
      </c>
      <c r="D35" s="145">
        <v>0</v>
      </c>
      <c r="E35">
        <v>27</v>
      </c>
      <c r="F35">
        <v>14</v>
      </c>
      <c r="G35" t="str">
        <v>תשלום הפרש מילואים</v>
      </c>
      <c r="H35" s="145">
        <v>1690</v>
      </c>
    </row>
    <row r="36" spans="1:8" x14ac:dyDescent="0.2">
      <c r="A36">
        <v>27</v>
      </c>
      <c r="B36" t="str">
        <v>Jonathan Assayag</v>
      </c>
      <c r="C36">
        <v>24</v>
      </c>
      <c r="D36" s="145">
        <v>1115</v>
      </c>
      <c r="E36">
        <v>27</v>
      </c>
      <c r="F36">
        <v>24</v>
      </c>
      <c r="G36" t="str">
        <v>שווי ארוחות</v>
      </c>
      <c r="H36" s="145">
        <v>1000</v>
      </c>
    </row>
    <row r="37" spans="1:8" x14ac:dyDescent="0.2">
      <c r="A37">
        <v>28</v>
      </c>
      <c r="B37" t="str">
        <v>Tamir Leshetz</v>
      </c>
      <c r="C37">
        <v>3</v>
      </c>
      <c r="D37" s="145">
        <v>115</v>
      </c>
      <c r="E37">
        <v>28</v>
      </c>
      <c r="F37">
        <v>3</v>
      </c>
      <c r="G37" t="str">
        <v>טלפון</v>
      </c>
      <c r="H37" s="145">
        <v>283.01</v>
      </c>
    </row>
    <row r="38" spans="1:8" x14ac:dyDescent="0.2">
      <c r="A38">
        <v>28</v>
      </c>
      <c r="B38" t="str">
        <v>Tamir Leshetz</v>
      </c>
      <c r="C38">
        <v>24</v>
      </c>
      <c r="D38" s="145">
        <v>1115</v>
      </c>
      <c r="E38">
        <v>28</v>
      </c>
      <c r="F38">
        <v>24</v>
      </c>
      <c r="G38" t="str">
        <v>שווי ארוחות</v>
      </c>
      <c r="H38" s="145">
        <v>1000</v>
      </c>
    </row>
    <row r="39" spans="1:8" x14ac:dyDescent="0.2">
      <c r="A39">
        <v>30</v>
      </c>
      <c r="B39" t="str">
        <v>Gal Shvinkelstein</v>
      </c>
      <c r="C39">
        <v>3</v>
      </c>
      <c r="D39" s="145">
        <v>115</v>
      </c>
      <c r="E39">
        <v>30</v>
      </c>
      <c r="F39">
        <v>3</v>
      </c>
      <c r="G39" t="str">
        <v>טלפון</v>
      </c>
      <c r="H39" s="145">
        <v>304</v>
      </c>
    </row>
    <row r="40" spans="1:8" x14ac:dyDescent="0.2">
      <c r="A40">
        <v>30</v>
      </c>
      <c r="B40" t="str">
        <v>Gal Shvinkelstein</v>
      </c>
      <c r="C40">
        <v>24</v>
      </c>
      <c r="D40" s="145">
        <v>1115</v>
      </c>
      <c r="E40">
        <v>30</v>
      </c>
      <c r="F40">
        <v>24</v>
      </c>
      <c r="G40" t="str">
        <v>שווי ארוחות</v>
      </c>
      <c r="H40" s="145">
        <v>1000</v>
      </c>
    </row>
    <row r="41" spans="1:8" x14ac:dyDescent="0.2">
      <c r="A41">
        <v>32</v>
      </c>
      <c r="B41" t="str">
        <v>Gal Sosin</v>
      </c>
      <c r="C41">
        <v>3</v>
      </c>
      <c r="D41" s="145">
        <v>115</v>
      </c>
      <c r="E41">
        <v>32</v>
      </c>
      <c r="F41">
        <v>3</v>
      </c>
      <c r="G41" t="str">
        <v>טלפון</v>
      </c>
      <c r="H41" s="145">
        <v>230</v>
      </c>
    </row>
    <row r="42" spans="1:8" x14ac:dyDescent="0.2">
      <c r="A42">
        <v>32</v>
      </c>
      <c r="B42" t="str">
        <v>Gal Sosin</v>
      </c>
      <c r="C42">
        <v>24</v>
      </c>
      <c r="D42" s="145">
        <v>1115</v>
      </c>
      <c r="E42">
        <v>32</v>
      </c>
      <c r="F42">
        <v>24</v>
      </c>
      <c r="G42" t="str">
        <v>שווי ארוחות</v>
      </c>
      <c r="H42" s="145">
        <v>1000</v>
      </c>
    </row>
    <row r="43" spans="1:8" x14ac:dyDescent="0.2">
      <c r="A43">
        <v>35</v>
      </c>
      <c r="B43" t="str">
        <v>Keren Zilberman</v>
      </c>
      <c r="C43">
        <v>3</v>
      </c>
      <c r="D43" s="145">
        <v>115</v>
      </c>
      <c r="E43">
        <v>35</v>
      </c>
      <c r="F43">
        <v>3</v>
      </c>
      <c r="G43" t="str">
        <v>טלפון</v>
      </c>
      <c r="H43" s="145">
        <v>218.45</v>
      </c>
    </row>
    <row r="44" spans="1:8" x14ac:dyDescent="0.2">
      <c r="A44">
        <v>35</v>
      </c>
      <c r="B44" t="str">
        <v>Keren Zilberman</v>
      </c>
      <c r="C44">
        <v>24</v>
      </c>
      <c r="D44" s="145">
        <v>1115</v>
      </c>
      <c r="E44">
        <v>35</v>
      </c>
      <c r="F44">
        <v>24</v>
      </c>
      <c r="G44" t="str">
        <v>שווי ארוחות</v>
      </c>
      <c r="H44" s="145">
        <v>1000</v>
      </c>
    </row>
    <row r="45" spans="1:8" x14ac:dyDescent="0.2">
      <c r="A45">
        <v>36</v>
      </c>
      <c r="B45" t="str">
        <v>Amit Bar</v>
      </c>
      <c r="C45">
        <v>3</v>
      </c>
      <c r="D45" s="145">
        <v>115</v>
      </c>
      <c r="E45">
        <v>36</v>
      </c>
      <c r="F45">
        <v>3</v>
      </c>
      <c r="G45" t="str">
        <v>טלפון</v>
      </c>
      <c r="H45" s="145">
        <v>216.93</v>
      </c>
    </row>
    <row r="46" spans="1:8" x14ac:dyDescent="0.2">
      <c r="A46">
        <v>36</v>
      </c>
      <c r="B46" t="str">
        <v>Amit Bar</v>
      </c>
      <c r="C46">
        <v>4</v>
      </c>
      <c r="D46" s="145">
        <v>315</v>
      </c>
      <c r="E46">
        <v>36</v>
      </c>
      <c r="F46">
        <v>4</v>
      </c>
      <c r="G46" t="str">
        <v>נסיעות</v>
      </c>
      <c r="H46" s="145">
        <v>474.6</v>
      </c>
    </row>
    <row r="47" spans="1:8" x14ac:dyDescent="0.2">
      <c r="A47">
        <v>36</v>
      </c>
      <c r="B47" t="str">
        <v>Amit Bar</v>
      </c>
      <c r="C47">
        <v>24</v>
      </c>
      <c r="D47" s="145">
        <v>1283</v>
      </c>
      <c r="E47">
        <v>36</v>
      </c>
      <c r="F47">
        <v>24</v>
      </c>
      <c r="G47" t="str">
        <v>שווי ארוחות</v>
      </c>
      <c r="H47" s="145">
        <v>1168</v>
      </c>
    </row>
    <row r="48" spans="1:8" x14ac:dyDescent="0.2">
      <c r="A48">
        <v>38</v>
      </c>
      <c r="B48" t="str">
        <v>Avner Eizner</v>
      </c>
      <c r="C48">
        <v>3</v>
      </c>
      <c r="D48" s="145">
        <v>115</v>
      </c>
      <c r="E48">
        <v>38</v>
      </c>
      <c r="F48">
        <v>3</v>
      </c>
      <c r="G48" t="str">
        <v>טלפון</v>
      </c>
      <c r="H48" s="145">
        <v>304</v>
      </c>
    </row>
    <row r="49" spans="1:8" x14ac:dyDescent="0.2">
      <c r="A49">
        <v>38</v>
      </c>
      <c r="B49" t="str">
        <v>Avner Eizner</v>
      </c>
      <c r="C49">
        <v>24</v>
      </c>
      <c r="D49" s="145">
        <v>1115</v>
      </c>
      <c r="E49">
        <v>38</v>
      </c>
      <c r="F49">
        <v>24</v>
      </c>
      <c r="G49" t="str">
        <v>שווי ארוחות</v>
      </c>
      <c r="H49" s="145">
        <v>1000</v>
      </c>
    </row>
    <row r="50" spans="1:8" x14ac:dyDescent="0.2">
      <c r="A50">
        <v>41</v>
      </c>
      <c r="B50" t="str">
        <v>Shoham Shimon Danino</v>
      </c>
      <c r="C50">
        <v>3</v>
      </c>
      <c r="D50" s="145">
        <v>115</v>
      </c>
      <c r="E50">
        <v>41</v>
      </c>
      <c r="F50">
        <v>3</v>
      </c>
      <c r="G50" t="str">
        <v>טלפון</v>
      </c>
      <c r="H50" s="145">
        <v>229.99</v>
      </c>
    </row>
    <row r="51" spans="1:8" x14ac:dyDescent="0.2">
      <c r="A51">
        <v>0</v>
      </c>
      <c r="B51">
        <v>0</v>
      </c>
      <c r="C51">
        <v>0</v>
      </c>
      <c r="D51" s="145">
        <v>0</v>
      </c>
      <c r="E51">
        <v>41</v>
      </c>
      <c r="F51">
        <v>14</v>
      </c>
      <c r="G51" t="str">
        <v>תשלום הפרש מילואים</v>
      </c>
      <c r="H51" s="145">
        <v>28727</v>
      </c>
    </row>
    <row r="52" spans="1:8" x14ac:dyDescent="0.2">
      <c r="A52">
        <v>41</v>
      </c>
      <c r="B52" t="str">
        <v>Shoham Shimon Danino</v>
      </c>
      <c r="C52">
        <v>24</v>
      </c>
      <c r="D52" s="145">
        <v>1115</v>
      </c>
      <c r="E52">
        <v>41</v>
      </c>
      <c r="F52">
        <v>24</v>
      </c>
      <c r="G52" t="str">
        <v>שווי ארוחות</v>
      </c>
      <c r="H52" s="145">
        <v>1000</v>
      </c>
    </row>
    <row r="53" spans="1:8" x14ac:dyDescent="0.2">
      <c r="A53">
        <v>42</v>
      </c>
      <c r="B53" t="str">
        <v>Roi Inbar</v>
      </c>
      <c r="C53">
        <v>3</v>
      </c>
      <c r="D53" s="145">
        <v>115</v>
      </c>
      <c r="E53">
        <v>42</v>
      </c>
      <c r="F53">
        <v>3</v>
      </c>
      <c r="G53" t="str">
        <v>טלפון</v>
      </c>
      <c r="H53" s="145">
        <v>303.99</v>
      </c>
    </row>
    <row r="54" spans="1:8" x14ac:dyDescent="0.2">
      <c r="A54">
        <v>42</v>
      </c>
      <c r="B54" t="str">
        <v>Roi Inbar</v>
      </c>
      <c r="C54">
        <v>24</v>
      </c>
      <c r="D54" s="145">
        <v>1115</v>
      </c>
      <c r="E54">
        <v>42</v>
      </c>
      <c r="F54">
        <v>24</v>
      </c>
      <c r="G54" t="str">
        <v>שווי ארוחות</v>
      </c>
      <c r="H54" s="145">
        <v>1000</v>
      </c>
    </row>
    <row r="55" spans="1:8" x14ac:dyDescent="0.2">
      <c r="A55">
        <v>43</v>
      </c>
      <c r="B55" t="str">
        <v>Samir Dabit</v>
      </c>
      <c r="C55">
        <v>3</v>
      </c>
      <c r="D55" s="145">
        <v>115</v>
      </c>
      <c r="E55">
        <v>43</v>
      </c>
      <c r="F55">
        <v>3</v>
      </c>
      <c r="G55" t="str">
        <v>טלפון</v>
      </c>
      <c r="H55" s="145">
        <v>283.02</v>
      </c>
    </row>
    <row r="56" spans="1:8" x14ac:dyDescent="0.2">
      <c r="A56">
        <v>43</v>
      </c>
      <c r="B56" t="str">
        <v>Samir Dabit</v>
      </c>
      <c r="C56">
        <v>24</v>
      </c>
      <c r="D56" s="145">
        <v>1115</v>
      </c>
      <c r="E56">
        <v>43</v>
      </c>
      <c r="F56">
        <v>24</v>
      </c>
      <c r="G56" t="str">
        <v>שווי ארוחות</v>
      </c>
      <c r="H56" s="145">
        <v>1000</v>
      </c>
    </row>
    <row r="57" spans="1:8" x14ac:dyDescent="0.2">
      <c r="A57">
        <v>45</v>
      </c>
      <c r="B57" t="str">
        <v>Noam  Yadar</v>
      </c>
      <c r="C57">
        <v>3</v>
      </c>
      <c r="D57" s="145">
        <v>115</v>
      </c>
      <c r="E57">
        <v>45</v>
      </c>
      <c r="F57">
        <v>3</v>
      </c>
      <c r="G57" t="str">
        <v>טלפון</v>
      </c>
      <c r="H57" s="145">
        <v>303.98</v>
      </c>
    </row>
    <row r="58" spans="1:8" x14ac:dyDescent="0.2">
      <c r="A58">
        <v>45</v>
      </c>
      <c r="B58" t="str">
        <v>Noam  Yadar</v>
      </c>
      <c r="C58">
        <v>24</v>
      </c>
      <c r="D58" s="145">
        <v>1115</v>
      </c>
      <c r="E58">
        <v>45</v>
      </c>
      <c r="F58">
        <v>24</v>
      </c>
      <c r="G58" t="str">
        <v>שווי ארוחות</v>
      </c>
      <c r="H58" s="145">
        <v>1000</v>
      </c>
    </row>
    <row r="59" spans="1:8" x14ac:dyDescent="0.2">
      <c r="A59">
        <v>47</v>
      </c>
      <c r="B59" t="str">
        <v>Eden Meyuhas</v>
      </c>
      <c r="C59">
        <v>3</v>
      </c>
      <c r="D59" s="145">
        <v>115</v>
      </c>
      <c r="E59">
        <v>47</v>
      </c>
      <c r="F59">
        <v>3</v>
      </c>
      <c r="G59" t="str">
        <v>טלפון</v>
      </c>
      <c r="H59" s="145">
        <v>304.05</v>
      </c>
    </row>
    <row r="60" spans="1:8" x14ac:dyDescent="0.2">
      <c r="A60">
        <v>0</v>
      </c>
      <c r="B60">
        <v>0</v>
      </c>
      <c r="C60">
        <v>0</v>
      </c>
      <c r="D60" s="145">
        <v>0</v>
      </c>
      <c r="E60">
        <v>47</v>
      </c>
      <c r="F60">
        <v>14</v>
      </c>
      <c r="G60" t="str">
        <v>תשלום הפרש מילואים</v>
      </c>
      <c r="H60" s="145">
        <v>25349</v>
      </c>
    </row>
    <row r="61" spans="1:8" x14ac:dyDescent="0.2">
      <c r="A61">
        <v>47</v>
      </c>
      <c r="B61" t="str">
        <v>Eden Meyuhas</v>
      </c>
      <c r="C61">
        <v>24</v>
      </c>
      <c r="D61" s="145">
        <v>1115</v>
      </c>
      <c r="E61">
        <v>47</v>
      </c>
      <c r="F61">
        <v>24</v>
      </c>
      <c r="G61" t="str">
        <v>שווי ארוחות</v>
      </c>
      <c r="H61" s="145">
        <v>1000</v>
      </c>
    </row>
    <row r="62" spans="1:8" x14ac:dyDescent="0.2">
      <c r="A62">
        <v>53</v>
      </c>
      <c r="B62" t="str">
        <v>Dor Pizem</v>
      </c>
      <c r="C62">
        <v>3</v>
      </c>
      <c r="D62" s="145">
        <v>115</v>
      </c>
      <c r="E62">
        <v>53</v>
      </c>
      <c r="F62">
        <v>3</v>
      </c>
      <c r="G62" t="str">
        <v>טלפון</v>
      </c>
      <c r="H62" s="145">
        <v>303.97000000000003</v>
      </c>
    </row>
    <row r="63" spans="1:8" x14ac:dyDescent="0.2">
      <c r="A63">
        <v>53</v>
      </c>
      <c r="B63" t="str">
        <v>Dor Pizem</v>
      </c>
      <c r="C63">
        <v>24</v>
      </c>
      <c r="D63" s="145">
        <v>1114.71</v>
      </c>
      <c r="E63">
        <v>53</v>
      </c>
      <c r="F63">
        <v>24</v>
      </c>
      <c r="G63" t="str">
        <v>שווי ארוחות</v>
      </c>
      <c r="H63" s="145">
        <v>999.71</v>
      </c>
    </row>
    <row r="64" spans="1:8" x14ac:dyDescent="0.2">
      <c r="A64">
        <v>54</v>
      </c>
      <c r="B64" t="str">
        <v>Vitaly Artemov</v>
      </c>
      <c r="C64">
        <v>3</v>
      </c>
      <c r="D64" s="145">
        <v>115</v>
      </c>
      <c r="E64">
        <v>54</v>
      </c>
      <c r="F64">
        <v>3</v>
      </c>
      <c r="G64" t="str">
        <v>טלפון</v>
      </c>
      <c r="H64" s="145">
        <v>230</v>
      </c>
    </row>
    <row r="65" spans="1:8" x14ac:dyDescent="0.2">
      <c r="A65">
        <v>54</v>
      </c>
      <c r="B65" t="str">
        <v>Vitaly Artemov</v>
      </c>
      <c r="C65">
        <v>24</v>
      </c>
      <c r="D65" s="145">
        <v>1115</v>
      </c>
      <c r="E65">
        <v>54</v>
      </c>
      <c r="F65">
        <v>24</v>
      </c>
      <c r="G65" t="str">
        <v>שווי ארוחות</v>
      </c>
      <c r="H65" s="145">
        <v>1000</v>
      </c>
    </row>
    <row r="66" spans="1:8" x14ac:dyDescent="0.2">
      <c r="A66">
        <v>55</v>
      </c>
      <c r="B66" t="str">
        <v>Oleg Perah</v>
      </c>
      <c r="C66">
        <v>3</v>
      </c>
      <c r="D66" s="145">
        <v>115</v>
      </c>
      <c r="E66">
        <v>55</v>
      </c>
      <c r="F66">
        <v>3</v>
      </c>
      <c r="G66" t="str">
        <v>טלפון</v>
      </c>
      <c r="H66" s="145">
        <v>304.02</v>
      </c>
    </row>
    <row r="67" spans="1:8" x14ac:dyDescent="0.2">
      <c r="A67">
        <v>55</v>
      </c>
      <c r="B67" t="str">
        <v>Oleg Perah</v>
      </c>
      <c r="C67">
        <v>24</v>
      </c>
      <c r="D67" s="145">
        <v>1115</v>
      </c>
      <c r="E67">
        <v>55</v>
      </c>
      <c r="F67">
        <v>24</v>
      </c>
      <c r="G67" t="str">
        <v>שווי ארוחות</v>
      </c>
      <c r="H67" s="145">
        <v>1000</v>
      </c>
    </row>
    <row r="68" spans="1:8" x14ac:dyDescent="0.2">
      <c r="A68">
        <v>56</v>
      </c>
      <c r="B68" t="str">
        <v>Marat Khousid</v>
      </c>
      <c r="C68">
        <v>3</v>
      </c>
      <c r="D68" s="145">
        <v>115</v>
      </c>
      <c r="E68">
        <v>56</v>
      </c>
      <c r="F68">
        <v>3</v>
      </c>
      <c r="G68" t="str">
        <v>טלפון</v>
      </c>
      <c r="H68" s="145">
        <v>230</v>
      </c>
    </row>
    <row r="69" spans="1:8" x14ac:dyDescent="0.2">
      <c r="A69">
        <v>56</v>
      </c>
      <c r="B69" t="str">
        <v>Marat Khousid</v>
      </c>
      <c r="C69">
        <v>24</v>
      </c>
      <c r="D69" s="145">
        <v>1115</v>
      </c>
      <c r="E69">
        <v>56</v>
      </c>
      <c r="F69">
        <v>24</v>
      </c>
      <c r="G69" t="str">
        <v>שווי ארוחות</v>
      </c>
      <c r="H69" s="145">
        <v>1000</v>
      </c>
    </row>
    <row r="70" spans="1:8" x14ac:dyDescent="0.2">
      <c r="A70">
        <v>57</v>
      </c>
      <c r="B70" t="str">
        <v>Ricky Levi</v>
      </c>
      <c r="C70">
        <v>3</v>
      </c>
      <c r="D70" s="145">
        <v>115</v>
      </c>
      <c r="E70">
        <v>57</v>
      </c>
      <c r="F70">
        <v>3</v>
      </c>
      <c r="G70" t="str">
        <v>טלפון</v>
      </c>
      <c r="H70" s="145">
        <v>304.02</v>
      </c>
    </row>
    <row r="71" spans="1:8" x14ac:dyDescent="0.2">
      <c r="A71">
        <v>57</v>
      </c>
      <c r="B71" t="str">
        <v>Ricky Levi</v>
      </c>
      <c r="C71">
        <v>24</v>
      </c>
      <c r="D71" s="145">
        <v>1115</v>
      </c>
      <c r="E71">
        <v>57</v>
      </c>
      <c r="F71">
        <v>24</v>
      </c>
      <c r="G71" t="str">
        <v>שווי ארוחות</v>
      </c>
      <c r="H71" s="145">
        <v>1000</v>
      </c>
    </row>
    <row r="72" spans="1:8" x14ac:dyDescent="0.2">
      <c r="A72">
        <v>59</v>
      </c>
      <c r="B72" t="str">
        <v>Elad Goren</v>
      </c>
      <c r="C72">
        <v>3</v>
      </c>
      <c r="D72" s="145">
        <v>115</v>
      </c>
      <c r="E72">
        <v>59</v>
      </c>
      <c r="F72">
        <v>3</v>
      </c>
      <c r="G72" t="str">
        <v>טלפון</v>
      </c>
      <c r="H72" s="145">
        <v>230</v>
      </c>
    </row>
    <row r="73" spans="1:8" x14ac:dyDescent="0.2">
      <c r="A73">
        <v>59</v>
      </c>
      <c r="B73" t="str">
        <v>Elad Goren</v>
      </c>
      <c r="C73">
        <v>24</v>
      </c>
      <c r="D73" s="145">
        <v>1115</v>
      </c>
      <c r="E73">
        <v>59</v>
      </c>
      <c r="F73">
        <v>24</v>
      </c>
      <c r="G73" t="str">
        <v>שווי ארוחות</v>
      </c>
      <c r="H73" s="145">
        <v>1000</v>
      </c>
    </row>
    <row r="74" spans="1:8" x14ac:dyDescent="0.2">
      <c r="A74">
        <v>60</v>
      </c>
      <c r="B74" t="str">
        <v>Dmitry Kulik</v>
      </c>
      <c r="C74">
        <v>3</v>
      </c>
      <c r="D74" s="145">
        <v>115</v>
      </c>
      <c r="E74">
        <v>60</v>
      </c>
      <c r="F74">
        <v>3</v>
      </c>
      <c r="G74" t="str">
        <v>טלפון</v>
      </c>
      <c r="H74" s="145">
        <v>230</v>
      </c>
    </row>
    <row r="75" spans="1:8" x14ac:dyDescent="0.2">
      <c r="A75">
        <v>60</v>
      </c>
      <c r="B75" t="str">
        <v>Dmitry Kulik</v>
      </c>
      <c r="C75">
        <v>24</v>
      </c>
      <c r="D75" s="145">
        <v>1101.52</v>
      </c>
      <c r="E75">
        <v>60</v>
      </c>
      <c r="F75">
        <v>24</v>
      </c>
      <c r="G75" t="str">
        <v>שווי ארוחות</v>
      </c>
      <c r="H75" s="145">
        <v>986.52</v>
      </c>
    </row>
    <row r="76" spans="1:8" x14ac:dyDescent="0.2">
      <c r="A76">
        <v>61</v>
      </c>
      <c r="B76" t="str">
        <v>Gadi Goldbarg</v>
      </c>
      <c r="C76">
        <v>3</v>
      </c>
      <c r="D76" s="145">
        <v>115</v>
      </c>
      <c r="E76">
        <v>61</v>
      </c>
      <c r="F76">
        <v>3</v>
      </c>
      <c r="G76" t="str">
        <v>טלפון</v>
      </c>
      <c r="H76" s="145">
        <v>302.01</v>
      </c>
    </row>
    <row r="77" spans="1:8" x14ac:dyDescent="0.2">
      <c r="A77">
        <v>61</v>
      </c>
      <c r="B77" t="str">
        <v>Gadi Goldbarg</v>
      </c>
      <c r="C77">
        <v>24</v>
      </c>
      <c r="D77" s="145">
        <v>1114.1500000000001</v>
      </c>
      <c r="E77">
        <v>61</v>
      </c>
      <c r="F77">
        <v>24</v>
      </c>
      <c r="G77" t="str">
        <v>שווי ארוחות</v>
      </c>
      <c r="H77" s="145">
        <v>999.15</v>
      </c>
    </row>
    <row r="78" spans="1:8" x14ac:dyDescent="0.2">
      <c r="A78">
        <v>62</v>
      </c>
      <c r="B78" t="str">
        <v>Amir Tarkey</v>
      </c>
      <c r="C78">
        <v>3</v>
      </c>
      <c r="D78" s="145">
        <v>115</v>
      </c>
      <c r="E78">
        <v>62</v>
      </c>
      <c r="F78">
        <v>3</v>
      </c>
      <c r="G78" t="str">
        <v>טלפון</v>
      </c>
      <c r="H78" s="145">
        <v>304</v>
      </c>
    </row>
    <row r="79" spans="1:8" x14ac:dyDescent="0.2">
      <c r="A79">
        <v>62</v>
      </c>
      <c r="B79" t="str">
        <v>Amir Tarkey</v>
      </c>
      <c r="C79">
        <v>24</v>
      </c>
      <c r="D79" s="145">
        <v>947.38</v>
      </c>
      <c r="E79">
        <v>62</v>
      </c>
      <c r="F79">
        <v>24</v>
      </c>
      <c r="G79" t="str">
        <v>שווי ארוחות</v>
      </c>
      <c r="H79" s="145">
        <v>832.38</v>
      </c>
    </row>
    <row r="80" spans="1:8" x14ac:dyDescent="0.2">
      <c r="A80">
        <v>65</v>
      </c>
      <c r="B80" t="str">
        <v>Jon Joseba Gabilondo Angulo</v>
      </c>
      <c r="C80">
        <v>3</v>
      </c>
      <c r="D80" s="145">
        <v>115</v>
      </c>
      <c r="E80">
        <v>65</v>
      </c>
      <c r="F80">
        <v>3</v>
      </c>
      <c r="G80" t="str">
        <v>טלפון</v>
      </c>
      <c r="H80" s="145">
        <v>230</v>
      </c>
    </row>
    <row r="81" spans="1:8" x14ac:dyDescent="0.2">
      <c r="A81">
        <v>65</v>
      </c>
      <c r="B81" t="str">
        <v>Jon Joseba Gabilondo Angulo</v>
      </c>
      <c r="C81">
        <v>24</v>
      </c>
      <c r="D81" s="145">
        <v>1114.5</v>
      </c>
      <c r="E81">
        <v>65</v>
      </c>
      <c r="F81">
        <v>24</v>
      </c>
      <c r="G81" t="str">
        <v>שווי ארוחות</v>
      </c>
      <c r="H81" s="145">
        <v>999.5</v>
      </c>
    </row>
    <row r="82" spans="1:8" x14ac:dyDescent="0.2">
      <c r="A82">
        <v>67</v>
      </c>
      <c r="B82" t="str">
        <v>Eyal Lubelski</v>
      </c>
      <c r="C82">
        <v>3</v>
      </c>
      <c r="D82" s="145">
        <v>115</v>
      </c>
      <c r="E82">
        <v>67</v>
      </c>
      <c r="F82">
        <v>3</v>
      </c>
      <c r="G82" t="str">
        <v>טלפון</v>
      </c>
      <c r="H82" s="145">
        <v>281.13</v>
      </c>
    </row>
    <row r="83" spans="1:8" x14ac:dyDescent="0.2">
      <c r="A83">
        <v>67</v>
      </c>
      <c r="B83" t="str">
        <v>Eyal Lubelski</v>
      </c>
      <c r="C83">
        <v>24</v>
      </c>
      <c r="D83" s="145">
        <v>1080</v>
      </c>
      <c r="E83">
        <v>67</v>
      </c>
      <c r="F83">
        <v>24</v>
      </c>
      <c r="G83" t="str">
        <v>שווי ארוחות</v>
      </c>
      <c r="H83" s="145">
        <v>965</v>
      </c>
    </row>
    <row r="84" spans="1:8" x14ac:dyDescent="0.2">
      <c r="A84">
        <v>68</v>
      </c>
      <c r="B84" t="str">
        <v>Bar Zukerman</v>
      </c>
      <c r="C84">
        <v>3</v>
      </c>
      <c r="D84" s="145">
        <v>115</v>
      </c>
      <c r="E84">
        <v>68</v>
      </c>
      <c r="F84">
        <v>3</v>
      </c>
      <c r="G84" t="str">
        <v>טלפון</v>
      </c>
      <c r="H84" s="145">
        <v>230</v>
      </c>
    </row>
    <row r="85" spans="1:8" x14ac:dyDescent="0.2">
      <c r="A85">
        <v>68</v>
      </c>
      <c r="B85" t="str">
        <v>Bar Zukerman</v>
      </c>
      <c r="C85">
        <v>24</v>
      </c>
      <c r="D85" s="145">
        <v>1115</v>
      </c>
      <c r="E85">
        <v>68</v>
      </c>
      <c r="F85">
        <v>24</v>
      </c>
      <c r="G85" t="str">
        <v>שווי ארוחות</v>
      </c>
      <c r="H85" s="145">
        <v>1000</v>
      </c>
    </row>
    <row r="86" spans="1:8" x14ac:dyDescent="0.2">
      <c r="A86">
        <v>0</v>
      </c>
      <c r="B86">
        <v>0</v>
      </c>
      <c r="C86">
        <v>0</v>
      </c>
      <c r="D86" s="145">
        <v>0</v>
      </c>
      <c r="E86">
        <v>68</v>
      </c>
      <c r="F86">
        <v>61</v>
      </c>
      <c r="G86" t="str">
        <v xml:space="preserve"> שווי אופציות (פ)</v>
      </c>
      <c r="H86" s="145">
        <v>14311.03</v>
      </c>
    </row>
    <row r="87" spans="1:8" x14ac:dyDescent="0.2">
      <c r="A87">
        <v>0</v>
      </c>
      <c r="B87">
        <v>0</v>
      </c>
      <c r="C87">
        <v>0</v>
      </c>
      <c r="D87" s="145">
        <v>0</v>
      </c>
      <c r="E87">
        <v>68</v>
      </c>
      <c r="F87">
        <v>75</v>
      </c>
      <c r="G87" t="str">
        <v>שווי אופציות הוני 25</v>
      </c>
      <c r="H87" s="145">
        <v>41477.26</v>
      </c>
    </row>
    <row r="88" spans="1:8" x14ac:dyDescent="0.2">
      <c r="A88">
        <v>69</v>
      </c>
      <c r="B88" t="str">
        <v>Alexander Jouravski</v>
      </c>
      <c r="C88">
        <v>3</v>
      </c>
      <c r="D88" s="145">
        <v>115</v>
      </c>
      <c r="E88">
        <v>69</v>
      </c>
      <c r="F88">
        <v>3</v>
      </c>
      <c r="G88" t="str">
        <v>טלפון</v>
      </c>
      <c r="H88" s="145">
        <v>230</v>
      </c>
    </row>
    <row r="89" spans="1:8" x14ac:dyDescent="0.2">
      <c r="A89">
        <v>69</v>
      </c>
      <c r="B89" t="str">
        <v>Alexander Jouravski</v>
      </c>
      <c r="C89">
        <v>24</v>
      </c>
      <c r="D89" s="145">
        <v>1115</v>
      </c>
      <c r="E89">
        <v>69</v>
      </c>
      <c r="F89">
        <v>24</v>
      </c>
      <c r="G89" t="str">
        <v>שווי ארוחות</v>
      </c>
      <c r="H89" s="145">
        <v>1000</v>
      </c>
    </row>
    <row r="90" spans="1:8" x14ac:dyDescent="0.2">
      <c r="A90">
        <v>70</v>
      </c>
      <c r="B90" t="str">
        <v>Sagie Vachman</v>
      </c>
      <c r="C90">
        <v>3</v>
      </c>
      <c r="D90" s="145">
        <v>115</v>
      </c>
      <c r="E90">
        <v>70</v>
      </c>
      <c r="F90">
        <v>3</v>
      </c>
      <c r="G90" t="str">
        <v>טלפון</v>
      </c>
      <c r="H90" s="145">
        <v>230</v>
      </c>
    </row>
    <row r="91" spans="1:8" x14ac:dyDescent="0.2">
      <c r="A91">
        <v>70</v>
      </c>
      <c r="B91" t="str">
        <v>Sagie Vachman</v>
      </c>
      <c r="C91">
        <v>24</v>
      </c>
      <c r="D91" s="145">
        <v>945.78</v>
      </c>
      <c r="E91">
        <v>70</v>
      </c>
      <c r="F91">
        <v>24</v>
      </c>
      <c r="G91" t="str">
        <v>שווי ארוחות</v>
      </c>
      <c r="H91" s="145">
        <v>830.78</v>
      </c>
    </row>
    <row r="92" spans="1:8" x14ac:dyDescent="0.2">
      <c r="A92">
        <v>71</v>
      </c>
      <c r="B92" t="str">
        <v>Roee Gozlan</v>
      </c>
      <c r="C92">
        <v>3</v>
      </c>
      <c r="D92" s="145">
        <v>115</v>
      </c>
      <c r="E92">
        <v>71</v>
      </c>
      <c r="F92">
        <v>3</v>
      </c>
      <c r="G92" t="str">
        <v>טלפון</v>
      </c>
      <c r="H92" s="145">
        <v>218.45</v>
      </c>
    </row>
    <row r="93" spans="1:8" x14ac:dyDescent="0.2">
      <c r="A93">
        <v>71</v>
      </c>
      <c r="B93" t="str">
        <v>Roee Gozlan</v>
      </c>
      <c r="C93">
        <v>24</v>
      </c>
      <c r="D93" s="145">
        <v>120</v>
      </c>
      <c r="E93">
        <v>71</v>
      </c>
      <c r="F93">
        <v>24</v>
      </c>
      <c r="G93" t="str">
        <v>שווי ארוחות</v>
      </c>
      <c r="H93" s="145">
        <v>5</v>
      </c>
    </row>
    <row r="94" spans="1:8" x14ac:dyDescent="0.2">
      <c r="A94">
        <v>72</v>
      </c>
      <c r="B94" t="str">
        <v>Assaf Almaz</v>
      </c>
      <c r="C94">
        <v>3</v>
      </c>
      <c r="D94" s="145">
        <v>115</v>
      </c>
      <c r="E94">
        <v>72</v>
      </c>
      <c r="F94">
        <v>3</v>
      </c>
      <c r="G94" t="str">
        <v>טלפון</v>
      </c>
      <c r="H94" s="145">
        <v>230</v>
      </c>
    </row>
    <row r="95" spans="1:8" x14ac:dyDescent="0.2">
      <c r="A95">
        <v>72</v>
      </c>
      <c r="B95" t="str">
        <v>Assaf Almaz</v>
      </c>
      <c r="C95">
        <v>24</v>
      </c>
      <c r="D95" s="145">
        <v>115</v>
      </c>
      <c r="E95">
        <v>0</v>
      </c>
      <c r="F95">
        <v>0</v>
      </c>
      <c r="G95">
        <v>0</v>
      </c>
      <c r="H95" s="145">
        <v>0</v>
      </c>
    </row>
    <row r="96" spans="1:8" x14ac:dyDescent="0.2">
      <c r="A96">
        <v>0</v>
      </c>
      <c r="B96">
        <v>0</v>
      </c>
      <c r="C96">
        <v>0</v>
      </c>
      <c r="D96" s="145">
        <v>0</v>
      </c>
      <c r="E96">
        <v>72</v>
      </c>
      <c r="F96">
        <v>61</v>
      </c>
      <c r="G96" t="str">
        <v xml:space="preserve"> שווי אופציות (פ)</v>
      </c>
      <c r="H96" s="145">
        <v>44763.34</v>
      </c>
    </row>
    <row r="97" spans="1:8" x14ac:dyDescent="0.2">
      <c r="A97">
        <v>73</v>
      </c>
      <c r="B97" t="str">
        <v>Assaf Nir</v>
      </c>
      <c r="C97">
        <v>3</v>
      </c>
      <c r="D97" s="145">
        <v>115</v>
      </c>
      <c r="E97">
        <v>73</v>
      </c>
      <c r="F97">
        <v>3</v>
      </c>
      <c r="G97" t="str">
        <v>טלפון</v>
      </c>
      <c r="H97" s="145">
        <v>230</v>
      </c>
    </row>
    <row r="98" spans="1:8" x14ac:dyDescent="0.2">
      <c r="A98">
        <v>73</v>
      </c>
      <c r="B98" t="str">
        <v>Assaf Nir</v>
      </c>
      <c r="C98">
        <v>24</v>
      </c>
      <c r="D98" s="145">
        <v>1115</v>
      </c>
      <c r="E98">
        <v>73</v>
      </c>
      <c r="F98">
        <v>24</v>
      </c>
      <c r="G98" t="str">
        <v>שווי ארוחות</v>
      </c>
      <c r="H98" s="145">
        <v>1000</v>
      </c>
    </row>
    <row r="99" spans="1:8" x14ac:dyDescent="0.2">
      <c r="A99">
        <v>74</v>
      </c>
      <c r="B99" t="str">
        <v>Reuven Abramov</v>
      </c>
      <c r="C99">
        <v>3</v>
      </c>
      <c r="D99" s="145">
        <v>115</v>
      </c>
      <c r="E99">
        <v>74</v>
      </c>
      <c r="F99">
        <v>3</v>
      </c>
      <c r="G99" t="str">
        <v>טלפון</v>
      </c>
      <c r="H99" s="145">
        <v>281.10000000000002</v>
      </c>
    </row>
    <row r="100" spans="1:8" x14ac:dyDescent="0.2">
      <c r="A100">
        <v>74</v>
      </c>
      <c r="B100" t="str">
        <v>Reuven Abramov</v>
      </c>
      <c r="C100">
        <v>24</v>
      </c>
      <c r="D100" s="145">
        <v>1114.27</v>
      </c>
      <c r="E100">
        <v>74</v>
      </c>
      <c r="F100">
        <v>24</v>
      </c>
      <c r="G100" t="str">
        <v>שווי ארוחות</v>
      </c>
      <c r="H100" s="145">
        <v>999.27</v>
      </c>
    </row>
    <row r="101" spans="1:8" x14ac:dyDescent="0.2">
      <c r="A101">
        <v>76</v>
      </c>
      <c r="B101" t="str">
        <v>Roi Zentner</v>
      </c>
      <c r="C101">
        <v>3</v>
      </c>
      <c r="D101" s="145">
        <v>115</v>
      </c>
      <c r="E101">
        <v>76</v>
      </c>
      <c r="F101">
        <v>3</v>
      </c>
      <c r="G101" t="str">
        <v>טלפון</v>
      </c>
      <c r="H101" s="145">
        <v>304.01</v>
      </c>
    </row>
    <row r="102" spans="1:8" x14ac:dyDescent="0.2">
      <c r="A102">
        <v>76</v>
      </c>
      <c r="B102" t="str">
        <v>Roi Zentner</v>
      </c>
      <c r="C102">
        <v>4</v>
      </c>
      <c r="D102" s="145">
        <v>315</v>
      </c>
      <c r="E102">
        <v>76</v>
      </c>
      <c r="F102">
        <v>4</v>
      </c>
      <c r="G102" t="str">
        <v>נסיעות</v>
      </c>
      <c r="H102" s="145">
        <v>410</v>
      </c>
    </row>
    <row r="103" spans="1:8" x14ac:dyDescent="0.2">
      <c r="A103">
        <v>76</v>
      </c>
      <c r="B103" t="str">
        <v>Roi Zentner</v>
      </c>
      <c r="C103">
        <v>24</v>
      </c>
      <c r="D103" s="145">
        <v>1100.3</v>
      </c>
      <c r="E103">
        <v>76</v>
      </c>
      <c r="F103">
        <v>24</v>
      </c>
      <c r="G103" t="str">
        <v>שווי ארוחות</v>
      </c>
      <c r="H103" s="145">
        <v>985.3</v>
      </c>
    </row>
    <row r="104" spans="1:8" x14ac:dyDescent="0.2">
      <c r="A104">
        <v>77</v>
      </c>
      <c r="B104" t="str">
        <v>Shahar Inbar</v>
      </c>
      <c r="C104">
        <v>3</v>
      </c>
      <c r="D104" s="145">
        <v>115</v>
      </c>
      <c r="E104">
        <v>77</v>
      </c>
      <c r="F104">
        <v>3</v>
      </c>
      <c r="G104" t="str">
        <v>טלפון</v>
      </c>
      <c r="H104" s="145">
        <v>230</v>
      </c>
    </row>
    <row r="105" spans="1:8" x14ac:dyDescent="0.2">
      <c r="A105">
        <v>77</v>
      </c>
      <c r="B105" t="str">
        <v>Shahar Inbar</v>
      </c>
      <c r="C105">
        <v>24</v>
      </c>
      <c r="D105" s="145">
        <v>1112</v>
      </c>
      <c r="E105">
        <v>77</v>
      </c>
      <c r="F105">
        <v>24</v>
      </c>
      <c r="G105" t="str">
        <v>שווי ארוחות</v>
      </c>
      <c r="H105" s="145">
        <v>997</v>
      </c>
    </row>
    <row r="106" spans="1:8" x14ac:dyDescent="0.2">
      <c r="A106">
        <v>78</v>
      </c>
      <c r="B106" t="str">
        <v>Nir Barel</v>
      </c>
      <c r="C106">
        <v>3</v>
      </c>
      <c r="D106" s="145">
        <v>115</v>
      </c>
      <c r="E106">
        <v>78</v>
      </c>
      <c r="F106">
        <v>3</v>
      </c>
      <c r="G106" t="str">
        <v>טלפון</v>
      </c>
      <c r="H106" s="145">
        <v>281.12</v>
      </c>
    </row>
    <row r="107" spans="1:8" x14ac:dyDescent="0.2">
      <c r="A107">
        <v>78</v>
      </c>
      <c r="B107" t="str">
        <v>Nir Barel</v>
      </c>
      <c r="C107">
        <v>24</v>
      </c>
      <c r="D107" s="145">
        <v>1115</v>
      </c>
      <c r="E107">
        <v>78</v>
      </c>
      <c r="F107">
        <v>24</v>
      </c>
      <c r="G107" t="str">
        <v>שווי ארוחות</v>
      </c>
      <c r="H107" s="145">
        <v>1000</v>
      </c>
    </row>
    <row r="108" spans="1:8" x14ac:dyDescent="0.2">
      <c r="A108">
        <v>80</v>
      </c>
      <c r="B108" t="str">
        <v>Ilya Rybak</v>
      </c>
      <c r="C108">
        <v>3</v>
      </c>
      <c r="D108" s="145">
        <v>115</v>
      </c>
      <c r="E108">
        <v>80</v>
      </c>
      <c r="F108">
        <v>3</v>
      </c>
      <c r="G108" t="str">
        <v>טלפון</v>
      </c>
      <c r="H108" s="145">
        <v>230</v>
      </c>
    </row>
    <row r="109" spans="1:8" x14ac:dyDescent="0.2">
      <c r="A109">
        <v>80</v>
      </c>
      <c r="B109" t="str">
        <v>Ilya Rybak</v>
      </c>
      <c r="C109">
        <v>24</v>
      </c>
      <c r="D109" s="145">
        <v>1114.9000000000001</v>
      </c>
      <c r="E109">
        <v>80</v>
      </c>
      <c r="F109">
        <v>24</v>
      </c>
      <c r="G109" t="str">
        <v>שווי ארוחות</v>
      </c>
      <c r="H109" s="145">
        <v>999.9</v>
      </c>
    </row>
    <row r="110" spans="1:8" x14ac:dyDescent="0.2">
      <c r="A110">
        <v>81</v>
      </c>
      <c r="B110" t="str">
        <v>Guy Gurfinkel</v>
      </c>
      <c r="C110">
        <v>3</v>
      </c>
      <c r="D110" s="145">
        <v>115</v>
      </c>
      <c r="E110">
        <v>81</v>
      </c>
      <c r="F110">
        <v>3</v>
      </c>
      <c r="G110" t="str">
        <v>טלפון</v>
      </c>
      <c r="H110" s="145">
        <v>230</v>
      </c>
    </row>
    <row r="111" spans="1:8" x14ac:dyDescent="0.2">
      <c r="A111">
        <v>81</v>
      </c>
      <c r="B111" t="str">
        <v>Guy Gurfinkel</v>
      </c>
      <c r="C111">
        <v>24</v>
      </c>
      <c r="D111" s="145">
        <v>1109</v>
      </c>
      <c r="E111">
        <v>81</v>
      </c>
      <c r="F111">
        <v>24</v>
      </c>
      <c r="G111" t="str">
        <v>שווי ארוחות</v>
      </c>
      <c r="H111" s="145">
        <v>994</v>
      </c>
    </row>
    <row r="112" spans="1:8" x14ac:dyDescent="0.2">
      <c r="A112">
        <v>82</v>
      </c>
      <c r="B112" t="str">
        <v>Hovav Bornstein (Chovav)</v>
      </c>
      <c r="C112">
        <v>3</v>
      </c>
      <c r="D112" s="145">
        <v>115</v>
      </c>
      <c r="E112">
        <v>82</v>
      </c>
      <c r="F112">
        <v>3</v>
      </c>
      <c r="G112" t="str">
        <v>טלפון</v>
      </c>
      <c r="H112" s="145">
        <v>230</v>
      </c>
    </row>
    <row r="113" spans="1:8" x14ac:dyDescent="0.2">
      <c r="A113">
        <v>82</v>
      </c>
      <c r="B113" t="str">
        <v>Hovav Bornstein (Chovav)</v>
      </c>
      <c r="C113">
        <v>24</v>
      </c>
      <c r="D113" s="145">
        <v>1109.6799999999998</v>
      </c>
      <c r="E113">
        <v>82</v>
      </c>
      <c r="F113">
        <v>24</v>
      </c>
      <c r="G113" t="str">
        <v>שווי ארוחות</v>
      </c>
      <c r="H113" s="145">
        <v>994.68</v>
      </c>
    </row>
    <row r="114" spans="1:8" x14ac:dyDescent="0.2">
      <c r="A114">
        <v>83</v>
      </c>
      <c r="B114" t="str">
        <v>Moshe Yuda</v>
      </c>
      <c r="C114">
        <v>3</v>
      </c>
      <c r="D114" s="145">
        <v>115</v>
      </c>
      <c r="E114">
        <v>83</v>
      </c>
      <c r="F114">
        <v>3</v>
      </c>
      <c r="G114" t="str">
        <v>טלפון</v>
      </c>
      <c r="H114" s="145">
        <v>230</v>
      </c>
    </row>
    <row r="115" spans="1:8" x14ac:dyDescent="0.2">
      <c r="A115">
        <v>83</v>
      </c>
      <c r="B115" t="str">
        <v>Moshe Yuda</v>
      </c>
      <c r="C115">
        <v>24</v>
      </c>
      <c r="D115" s="145">
        <v>1074.45</v>
      </c>
      <c r="E115">
        <v>83</v>
      </c>
      <c r="F115">
        <v>24</v>
      </c>
      <c r="G115" t="str">
        <v>שווי ארוחות</v>
      </c>
      <c r="H115" s="145">
        <v>959.45</v>
      </c>
    </row>
    <row r="116" spans="1:8" x14ac:dyDescent="0.2">
      <c r="A116">
        <v>84</v>
      </c>
      <c r="B116" t="str">
        <v>Shmulik Rozenzweig</v>
      </c>
      <c r="C116">
        <v>3</v>
      </c>
      <c r="D116" s="145">
        <v>115</v>
      </c>
      <c r="E116">
        <v>84</v>
      </c>
      <c r="F116">
        <v>3</v>
      </c>
      <c r="G116" t="str">
        <v>טלפון</v>
      </c>
      <c r="H116" s="145">
        <v>230</v>
      </c>
    </row>
    <row r="117" spans="1:8" x14ac:dyDescent="0.2">
      <c r="A117">
        <v>84</v>
      </c>
      <c r="B117" t="str">
        <v>Shmulik Rozenzweig</v>
      </c>
      <c r="C117">
        <v>24</v>
      </c>
      <c r="D117" s="145">
        <v>1113.8499999999999</v>
      </c>
      <c r="E117">
        <v>84</v>
      </c>
      <c r="F117">
        <v>24</v>
      </c>
      <c r="G117" t="str">
        <v>שווי ארוחות</v>
      </c>
      <c r="H117" s="145">
        <v>998.85</v>
      </c>
    </row>
    <row r="118" spans="1:8" x14ac:dyDescent="0.2">
      <c r="A118">
        <v>0</v>
      </c>
      <c r="B118">
        <v>0</v>
      </c>
      <c r="C118">
        <v>0</v>
      </c>
      <c r="D118" s="145">
        <v>0</v>
      </c>
      <c r="E118">
        <v>84</v>
      </c>
      <c r="F118">
        <v>61</v>
      </c>
      <c r="G118" t="str">
        <v xml:space="preserve"> שווי אופציות (פ)</v>
      </c>
      <c r="H118" s="145">
        <v>33693.15</v>
      </c>
    </row>
    <row r="119" spans="1:8" x14ac:dyDescent="0.2">
      <c r="A119">
        <v>85</v>
      </c>
      <c r="B119" t="str">
        <v>Assaf Cohen</v>
      </c>
      <c r="C119">
        <v>3</v>
      </c>
      <c r="D119" s="145">
        <v>115</v>
      </c>
      <c r="E119">
        <v>85</v>
      </c>
      <c r="F119">
        <v>3</v>
      </c>
      <c r="G119" t="str">
        <v>טלפון</v>
      </c>
      <c r="H119" s="145">
        <v>230</v>
      </c>
    </row>
    <row r="120" spans="1:8" x14ac:dyDescent="0.2">
      <c r="A120">
        <v>85</v>
      </c>
      <c r="B120" t="str">
        <v>Assaf Cohen</v>
      </c>
      <c r="C120">
        <v>24</v>
      </c>
      <c r="D120" s="145">
        <v>1115</v>
      </c>
      <c r="E120">
        <v>85</v>
      </c>
      <c r="F120">
        <v>24</v>
      </c>
      <c r="G120" t="str">
        <v>שווי ארוחות</v>
      </c>
      <c r="H120" s="145">
        <v>1000</v>
      </c>
    </row>
    <row r="121" spans="1:8" x14ac:dyDescent="0.2">
      <c r="A121">
        <v>86</v>
      </c>
      <c r="B121" t="str">
        <v>Matanel Elhayani</v>
      </c>
      <c r="C121">
        <v>3</v>
      </c>
      <c r="D121" s="145">
        <v>115</v>
      </c>
      <c r="E121">
        <v>86</v>
      </c>
      <c r="F121">
        <v>3</v>
      </c>
      <c r="G121" t="str">
        <v>טלפון</v>
      </c>
      <c r="H121" s="145">
        <v>230</v>
      </c>
    </row>
    <row r="122" spans="1:8" x14ac:dyDescent="0.2">
      <c r="A122">
        <v>86</v>
      </c>
      <c r="B122" t="str">
        <v>Matanel Elhayani</v>
      </c>
      <c r="C122">
        <v>24</v>
      </c>
      <c r="D122" s="145">
        <v>1115</v>
      </c>
      <c r="E122">
        <v>86</v>
      </c>
      <c r="F122">
        <v>24</v>
      </c>
      <c r="G122" t="str">
        <v>שווי ארוחות</v>
      </c>
      <c r="H122" s="145">
        <v>1000</v>
      </c>
    </row>
    <row r="123" spans="1:8" x14ac:dyDescent="0.2">
      <c r="A123">
        <v>87</v>
      </c>
      <c r="B123" t="str">
        <v>Chen Dahan</v>
      </c>
      <c r="C123">
        <v>3</v>
      </c>
      <c r="D123" s="145">
        <v>115</v>
      </c>
      <c r="E123">
        <v>87</v>
      </c>
      <c r="F123">
        <v>3</v>
      </c>
      <c r="G123" t="str">
        <v>טלפון</v>
      </c>
      <c r="H123" s="145">
        <v>281.13</v>
      </c>
    </row>
    <row r="124" spans="1:8" x14ac:dyDescent="0.2">
      <c r="A124">
        <v>87</v>
      </c>
      <c r="B124" t="str">
        <v>Chen Dahan</v>
      </c>
      <c r="C124">
        <v>24</v>
      </c>
      <c r="D124" s="145">
        <v>1114.0999999999999</v>
      </c>
      <c r="E124">
        <v>87</v>
      </c>
      <c r="F124">
        <v>24</v>
      </c>
      <c r="G124" t="str">
        <v>שווי ארוחות</v>
      </c>
      <c r="H124" s="145">
        <v>999.1</v>
      </c>
    </row>
    <row r="125" spans="1:8" x14ac:dyDescent="0.2">
      <c r="A125">
        <v>88</v>
      </c>
      <c r="B125" t="str">
        <v>Amir Hazbani</v>
      </c>
      <c r="C125">
        <v>3</v>
      </c>
      <c r="D125" s="145">
        <v>115</v>
      </c>
      <c r="E125">
        <v>88</v>
      </c>
      <c r="F125">
        <v>3</v>
      </c>
      <c r="G125" t="str">
        <v>טלפון</v>
      </c>
      <c r="H125" s="145">
        <v>281.13</v>
      </c>
    </row>
    <row r="126" spans="1:8" x14ac:dyDescent="0.2">
      <c r="A126">
        <v>88</v>
      </c>
      <c r="B126" t="str">
        <v>Amir Hazbani</v>
      </c>
      <c r="C126">
        <v>24</v>
      </c>
      <c r="D126" s="145">
        <v>1113.8899999999999</v>
      </c>
      <c r="E126">
        <v>88</v>
      </c>
      <c r="F126">
        <v>24</v>
      </c>
      <c r="G126" t="str">
        <v>שווי ארוחות</v>
      </c>
      <c r="H126" s="145">
        <v>998.89</v>
      </c>
    </row>
    <row r="127" spans="1:8" x14ac:dyDescent="0.2">
      <c r="A127">
        <v>89</v>
      </c>
      <c r="B127" t="str">
        <v>Oded Aharon</v>
      </c>
      <c r="C127">
        <v>3</v>
      </c>
      <c r="D127" s="145">
        <v>115</v>
      </c>
      <c r="E127">
        <v>89</v>
      </c>
      <c r="F127">
        <v>3</v>
      </c>
      <c r="G127" t="str">
        <v>טלפון</v>
      </c>
      <c r="H127" s="145">
        <v>281.13</v>
      </c>
    </row>
    <row r="128" spans="1:8" x14ac:dyDescent="0.2">
      <c r="A128">
        <v>89</v>
      </c>
      <c r="B128" t="str">
        <v>Oded Aharon</v>
      </c>
      <c r="C128">
        <v>24</v>
      </c>
      <c r="D128" s="145">
        <v>1114.69</v>
      </c>
      <c r="E128">
        <v>89</v>
      </c>
      <c r="F128">
        <v>24</v>
      </c>
      <c r="G128" t="str">
        <v>שווי ארוחות</v>
      </c>
      <c r="H128" s="145">
        <v>999.69</v>
      </c>
    </row>
    <row r="129" spans="1:8" x14ac:dyDescent="0.2">
      <c r="A129">
        <v>90</v>
      </c>
      <c r="B129" t="str">
        <v>Omer Alon Aboudy</v>
      </c>
      <c r="C129">
        <v>3</v>
      </c>
      <c r="D129" s="145">
        <v>115</v>
      </c>
      <c r="E129">
        <v>90</v>
      </c>
      <c r="F129">
        <v>3</v>
      </c>
      <c r="G129" t="str">
        <v>טלפון</v>
      </c>
      <c r="H129" s="145">
        <v>281.13</v>
      </c>
    </row>
    <row r="130" spans="1:8" x14ac:dyDescent="0.2">
      <c r="A130">
        <v>90</v>
      </c>
      <c r="B130" t="str">
        <v>Omer Alon Aboudy</v>
      </c>
      <c r="C130">
        <v>24</v>
      </c>
      <c r="D130" s="145">
        <v>1114.46</v>
      </c>
      <c r="E130">
        <v>90</v>
      </c>
      <c r="F130">
        <v>24</v>
      </c>
      <c r="G130" t="str">
        <v>שווי ארוחות</v>
      </c>
      <c r="H130" s="145">
        <v>999.46</v>
      </c>
    </row>
    <row r="131" spans="1:8" x14ac:dyDescent="0.2">
      <c r="A131">
        <v>0</v>
      </c>
      <c r="B131">
        <v>0</v>
      </c>
      <c r="C131">
        <v>0</v>
      </c>
      <c r="D131" s="145">
        <v>0</v>
      </c>
      <c r="E131">
        <v>90</v>
      </c>
      <c r="F131">
        <v>61</v>
      </c>
      <c r="G131" t="str">
        <v xml:space="preserve"> שווי אופציות (פ)</v>
      </c>
      <c r="H131" s="145">
        <v>32904.620000000003</v>
      </c>
    </row>
    <row r="132" spans="1:8" x14ac:dyDescent="0.2">
      <c r="A132">
        <v>94</v>
      </c>
      <c r="B132" t="str">
        <v>Meir Mouly</v>
      </c>
      <c r="C132">
        <v>3</v>
      </c>
      <c r="D132" s="145">
        <v>115</v>
      </c>
      <c r="E132">
        <v>94</v>
      </c>
      <c r="F132">
        <v>3</v>
      </c>
      <c r="G132" t="str">
        <v>טלפון</v>
      </c>
      <c r="H132" s="145">
        <v>283.01</v>
      </c>
    </row>
    <row r="133" spans="1:8" x14ac:dyDescent="0.2">
      <c r="A133">
        <v>94</v>
      </c>
      <c r="B133" t="str">
        <v>Meir Mouly</v>
      </c>
      <c r="C133">
        <v>24</v>
      </c>
      <c r="D133" s="145">
        <v>1110.55</v>
      </c>
      <c r="E133">
        <v>94</v>
      </c>
      <c r="F133">
        <v>24</v>
      </c>
      <c r="G133" t="str">
        <v>שווי ארוחות</v>
      </c>
      <c r="H133" s="145">
        <v>995.55</v>
      </c>
    </row>
    <row r="134" spans="1:8" x14ac:dyDescent="0.2">
      <c r="A134">
        <v>95</v>
      </c>
      <c r="B134" t="str">
        <v>Alexander Kipnis</v>
      </c>
      <c r="C134">
        <v>3</v>
      </c>
      <c r="D134" s="145">
        <v>115</v>
      </c>
      <c r="E134">
        <v>95</v>
      </c>
      <c r="F134">
        <v>3</v>
      </c>
      <c r="G134" t="str">
        <v>טלפון</v>
      </c>
      <c r="H134" s="145">
        <v>229.99</v>
      </c>
    </row>
    <row r="135" spans="1:8" x14ac:dyDescent="0.2">
      <c r="A135">
        <v>95</v>
      </c>
      <c r="B135" t="str">
        <v>Alexander Kipnis</v>
      </c>
      <c r="C135">
        <v>24</v>
      </c>
      <c r="D135" s="145">
        <v>1017.15</v>
      </c>
      <c r="E135">
        <v>95</v>
      </c>
      <c r="F135">
        <v>24</v>
      </c>
      <c r="G135" t="str">
        <v>שווי ארוחות</v>
      </c>
      <c r="H135" s="145">
        <v>902.15</v>
      </c>
    </row>
    <row r="136" spans="1:8" x14ac:dyDescent="0.2">
      <c r="A136">
        <v>96</v>
      </c>
      <c r="B136" t="str">
        <v>Gal Peled</v>
      </c>
      <c r="C136">
        <v>3</v>
      </c>
      <c r="D136" s="145">
        <v>115</v>
      </c>
      <c r="E136">
        <v>96</v>
      </c>
      <c r="F136">
        <v>3</v>
      </c>
      <c r="G136" t="str">
        <v>טלפון</v>
      </c>
      <c r="H136" s="145">
        <v>283.02</v>
      </c>
    </row>
    <row r="137" spans="1:8" x14ac:dyDescent="0.2">
      <c r="A137">
        <v>0</v>
      </c>
      <c r="B137">
        <v>0</v>
      </c>
      <c r="C137">
        <v>0</v>
      </c>
      <c r="D137" s="145">
        <v>0</v>
      </c>
      <c r="E137">
        <v>96</v>
      </c>
      <c r="F137">
        <v>14</v>
      </c>
      <c r="G137" t="str">
        <v>תשלום הפרש מילואים</v>
      </c>
      <c r="H137" s="145">
        <v>2176</v>
      </c>
    </row>
    <row r="138" spans="1:8" x14ac:dyDescent="0.2">
      <c r="A138">
        <v>96</v>
      </c>
      <c r="B138" t="str">
        <v>Gal Peled</v>
      </c>
      <c r="C138">
        <v>24</v>
      </c>
      <c r="D138" s="145">
        <v>1115</v>
      </c>
      <c r="E138">
        <v>96</v>
      </c>
      <c r="F138">
        <v>24</v>
      </c>
      <c r="G138" t="str">
        <v>שווי ארוחות</v>
      </c>
      <c r="H138" s="145">
        <v>1000</v>
      </c>
    </row>
    <row r="139" spans="1:8" x14ac:dyDescent="0.2">
      <c r="A139">
        <v>97</v>
      </c>
      <c r="B139" t="str">
        <v>Orel Shmueli</v>
      </c>
      <c r="C139">
        <v>24</v>
      </c>
      <c r="D139" s="145">
        <v>827.26</v>
      </c>
      <c r="E139">
        <v>0</v>
      </c>
      <c r="F139">
        <v>0</v>
      </c>
      <c r="G139">
        <v>0</v>
      </c>
      <c r="H139" s="145">
        <v>0</v>
      </c>
    </row>
    <row r="140" spans="1:8" x14ac:dyDescent="0.2">
      <c r="A140">
        <v>98</v>
      </c>
      <c r="B140" t="str">
        <v>Alex Mulman</v>
      </c>
      <c r="C140">
        <v>3</v>
      </c>
      <c r="D140" s="145">
        <v>115</v>
      </c>
      <c r="E140">
        <v>98</v>
      </c>
      <c r="F140">
        <v>3</v>
      </c>
      <c r="G140" t="str">
        <v>טלפון</v>
      </c>
      <c r="H140" s="145">
        <v>216.92</v>
      </c>
    </row>
    <row r="141" spans="1:8" x14ac:dyDescent="0.2">
      <c r="A141">
        <v>98</v>
      </c>
      <c r="B141" t="str">
        <v>Alex Mulman</v>
      </c>
      <c r="C141">
        <v>4</v>
      </c>
      <c r="D141" s="145">
        <v>315</v>
      </c>
      <c r="E141">
        <v>98</v>
      </c>
      <c r="F141">
        <v>4</v>
      </c>
      <c r="G141" t="str">
        <v>נסיעות</v>
      </c>
      <c r="H141" s="145">
        <v>410</v>
      </c>
    </row>
    <row r="142" spans="1:8" x14ac:dyDescent="0.2">
      <c r="A142">
        <v>98</v>
      </c>
      <c r="B142" t="str">
        <v>Alex Mulman</v>
      </c>
      <c r="C142">
        <v>24</v>
      </c>
      <c r="D142" s="145">
        <v>1114.49</v>
      </c>
      <c r="E142">
        <v>98</v>
      </c>
      <c r="F142">
        <v>24</v>
      </c>
      <c r="G142" t="str">
        <v>שווי ארוחות</v>
      </c>
      <c r="H142" s="145">
        <v>999.49</v>
      </c>
    </row>
    <row r="143" spans="1:8" x14ac:dyDescent="0.2">
      <c r="A143">
        <v>99</v>
      </c>
      <c r="B143" t="str">
        <v>Tamir Eliaz</v>
      </c>
      <c r="C143">
        <v>3</v>
      </c>
      <c r="D143" s="145">
        <v>115</v>
      </c>
      <c r="E143">
        <v>99</v>
      </c>
      <c r="F143">
        <v>3</v>
      </c>
      <c r="G143" t="str">
        <v>טלפון</v>
      </c>
      <c r="H143" s="145">
        <v>230</v>
      </c>
    </row>
    <row r="144" spans="1:8" x14ac:dyDescent="0.2">
      <c r="A144">
        <v>99</v>
      </c>
      <c r="B144" t="str">
        <v>Tamir Eliaz</v>
      </c>
      <c r="C144">
        <v>24</v>
      </c>
      <c r="D144" s="145">
        <v>1113.25</v>
      </c>
      <c r="E144">
        <v>99</v>
      </c>
      <c r="F144">
        <v>24</v>
      </c>
      <c r="G144" t="str">
        <v>שווי ארוחות</v>
      </c>
      <c r="H144" s="145">
        <v>998.25</v>
      </c>
    </row>
    <row r="145" spans="1:8" x14ac:dyDescent="0.2">
      <c r="A145">
        <v>100</v>
      </c>
      <c r="B145" t="str">
        <v>Gal Shitrit</v>
      </c>
      <c r="C145">
        <v>3</v>
      </c>
      <c r="D145" s="145">
        <v>115</v>
      </c>
      <c r="E145">
        <v>100</v>
      </c>
      <c r="F145">
        <v>3</v>
      </c>
      <c r="G145" t="str">
        <v>טלפון</v>
      </c>
      <c r="H145" s="145">
        <v>216.93</v>
      </c>
    </row>
    <row r="146" spans="1:8" x14ac:dyDescent="0.2">
      <c r="A146">
        <v>100</v>
      </c>
      <c r="B146" t="str">
        <v>Gal Shitrit</v>
      </c>
      <c r="C146">
        <v>24</v>
      </c>
      <c r="D146" s="145">
        <v>996.9</v>
      </c>
      <c r="E146">
        <v>100</v>
      </c>
      <c r="F146">
        <v>24</v>
      </c>
      <c r="G146" t="str">
        <v>שווי ארוחות</v>
      </c>
      <c r="H146" s="145">
        <v>881.9</v>
      </c>
    </row>
    <row r="147" spans="1:8" x14ac:dyDescent="0.2">
      <c r="A147">
        <v>101</v>
      </c>
      <c r="B147" t="str">
        <v>Alex Korthny</v>
      </c>
      <c r="C147">
        <v>3</v>
      </c>
      <c r="D147" s="145">
        <v>115</v>
      </c>
      <c r="E147">
        <v>101</v>
      </c>
      <c r="F147">
        <v>3</v>
      </c>
      <c r="G147" t="str">
        <v>טלפון</v>
      </c>
      <c r="H147" s="145">
        <v>230</v>
      </c>
    </row>
    <row r="148" spans="1:8" x14ac:dyDescent="0.2">
      <c r="A148">
        <v>101</v>
      </c>
      <c r="B148" t="str">
        <v>Alex Korthny</v>
      </c>
      <c r="C148">
        <v>24</v>
      </c>
      <c r="D148" s="145">
        <v>1065.5999999999999</v>
      </c>
      <c r="E148">
        <v>101</v>
      </c>
      <c r="F148">
        <v>24</v>
      </c>
      <c r="G148" t="str">
        <v>שווי ארוחות</v>
      </c>
      <c r="H148" s="145">
        <v>950.6</v>
      </c>
    </row>
    <row r="149" spans="1:8" x14ac:dyDescent="0.2">
      <c r="A149">
        <v>102</v>
      </c>
      <c r="B149" t="str">
        <v>Danny Shacham</v>
      </c>
      <c r="C149">
        <v>3</v>
      </c>
      <c r="D149" s="145">
        <v>115</v>
      </c>
      <c r="E149">
        <v>102</v>
      </c>
      <c r="F149">
        <v>3</v>
      </c>
      <c r="G149" t="str">
        <v>טלפון</v>
      </c>
      <c r="H149" s="145">
        <v>230</v>
      </c>
    </row>
    <row r="150" spans="1:8" x14ac:dyDescent="0.2">
      <c r="A150">
        <v>0</v>
      </c>
      <c r="B150">
        <v>0</v>
      </c>
      <c r="C150">
        <v>0</v>
      </c>
      <c r="D150" s="145">
        <v>0</v>
      </c>
      <c r="E150">
        <v>102</v>
      </c>
      <c r="F150">
        <v>14</v>
      </c>
      <c r="G150" t="str">
        <v>תשלום הפרש מילואים</v>
      </c>
      <c r="H150" s="145">
        <v>17236.3</v>
      </c>
    </row>
    <row r="151" spans="1:8" x14ac:dyDescent="0.2">
      <c r="A151">
        <v>102</v>
      </c>
      <c r="B151" t="str">
        <v>Danny Shacham</v>
      </c>
      <c r="C151">
        <v>24</v>
      </c>
      <c r="D151" s="145">
        <v>1088.28</v>
      </c>
      <c r="E151">
        <v>102</v>
      </c>
      <c r="F151">
        <v>24</v>
      </c>
      <c r="G151" t="str">
        <v>שווי ארוחות</v>
      </c>
      <c r="H151" s="145">
        <v>973.28</v>
      </c>
    </row>
    <row r="152" spans="1:8" x14ac:dyDescent="0.2">
      <c r="A152">
        <v>103</v>
      </c>
      <c r="B152" t="str">
        <v>Nati Abutbul</v>
      </c>
      <c r="C152">
        <v>3</v>
      </c>
      <c r="D152" s="145">
        <v>115</v>
      </c>
      <c r="E152">
        <v>103</v>
      </c>
      <c r="F152">
        <v>3</v>
      </c>
      <c r="G152" t="str">
        <v>טלפון</v>
      </c>
      <c r="H152" s="145">
        <v>229.99</v>
      </c>
    </row>
    <row r="153" spans="1:8" x14ac:dyDescent="0.2">
      <c r="A153">
        <v>103</v>
      </c>
      <c r="B153" t="str">
        <v>Nati Abutbul</v>
      </c>
      <c r="C153">
        <v>24</v>
      </c>
      <c r="D153" s="145">
        <v>1115</v>
      </c>
      <c r="E153">
        <v>103</v>
      </c>
      <c r="F153">
        <v>24</v>
      </c>
      <c r="G153" t="str">
        <v>שווי ארוחות</v>
      </c>
      <c r="H153" s="145">
        <v>1000</v>
      </c>
    </row>
    <row r="154" spans="1:8" x14ac:dyDescent="0.2">
      <c r="A154">
        <v>104</v>
      </c>
      <c r="B154" t="str">
        <v>Sela Oren</v>
      </c>
      <c r="C154">
        <v>3</v>
      </c>
      <c r="D154" s="145">
        <v>115</v>
      </c>
      <c r="E154">
        <v>104</v>
      </c>
      <c r="F154">
        <v>3</v>
      </c>
      <c r="G154" t="str">
        <v>טלפון</v>
      </c>
      <c r="H154" s="145">
        <v>283.02</v>
      </c>
    </row>
    <row r="155" spans="1:8" x14ac:dyDescent="0.2">
      <c r="A155">
        <v>104</v>
      </c>
      <c r="B155" t="str">
        <v>Sela Oren</v>
      </c>
      <c r="C155">
        <v>24</v>
      </c>
      <c r="D155" s="145">
        <v>1113.22</v>
      </c>
      <c r="E155">
        <v>104</v>
      </c>
      <c r="F155">
        <v>24</v>
      </c>
      <c r="G155" t="str">
        <v>שווי ארוחות</v>
      </c>
      <c r="H155" s="145">
        <v>998.22</v>
      </c>
    </row>
    <row r="156" spans="1:8" x14ac:dyDescent="0.2">
      <c r="A156">
        <v>0</v>
      </c>
      <c r="B156">
        <v>0</v>
      </c>
      <c r="C156">
        <v>0</v>
      </c>
      <c r="D156" s="145">
        <v>0</v>
      </c>
      <c r="E156">
        <v>104</v>
      </c>
      <c r="F156">
        <v>61</v>
      </c>
      <c r="G156" t="str">
        <v xml:space="preserve"> שווי אופציות (פ)</v>
      </c>
      <c r="H156" s="145">
        <v>21823.03</v>
      </c>
    </row>
    <row r="157" spans="1:8" x14ac:dyDescent="0.2">
      <c r="A157">
        <v>105</v>
      </c>
      <c r="B157" t="str">
        <v>Roei Amit</v>
      </c>
      <c r="C157">
        <v>3</v>
      </c>
      <c r="D157" s="145">
        <v>115</v>
      </c>
      <c r="E157">
        <v>105</v>
      </c>
      <c r="F157">
        <v>3</v>
      </c>
      <c r="G157" t="str">
        <v>טלפון</v>
      </c>
      <c r="H157" s="145">
        <v>283.02</v>
      </c>
    </row>
    <row r="158" spans="1:8" x14ac:dyDescent="0.2">
      <c r="A158">
        <v>105</v>
      </c>
      <c r="B158" t="str">
        <v>Roei Amit</v>
      </c>
      <c r="C158">
        <v>24</v>
      </c>
      <c r="D158" s="145">
        <v>1114.05</v>
      </c>
      <c r="E158">
        <v>105</v>
      </c>
      <c r="F158">
        <v>24</v>
      </c>
      <c r="G158" t="str">
        <v>שווי ארוחות</v>
      </c>
      <c r="H158" s="145">
        <v>999.05</v>
      </c>
    </row>
    <row r="159" spans="1:8" x14ac:dyDescent="0.2">
      <c r="A159">
        <v>106</v>
      </c>
      <c r="B159" t="str">
        <v>Elhanan Mizrahi</v>
      </c>
      <c r="C159">
        <v>3</v>
      </c>
      <c r="D159" s="145">
        <v>115</v>
      </c>
      <c r="E159">
        <v>106</v>
      </c>
      <c r="F159">
        <v>3</v>
      </c>
      <c r="G159" t="str">
        <v>טלפון</v>
      </c>
      <c r="H159" s="145">
        <v>281.13</v>
      </c>
    </row>
    <row r="160" spans="1:8" x14ac:dyDescent="0.2">
      <c r="A160">
        <v>106</v>
      </c>
      <c r="B160" t="str">
        <v>Elhanan Mizrahi</v>
      </c>
      <c r="C160">
        <v>24</v>
      </c>
      <c r="D160" s="145">
        <v>1115</v>
      </c>
      <c r="E160">
        <v>106</v>
      </c>
      <c r="F160">
        <v>24</v>
      </c>
      <c r="G160" t="str">
        <v>שווי ארוחות</v>
      </c>
      <c r="H160" s="145">
        <v>1000</v>
      </c>
    </row>
    <row r="161" spans="1:8" x14ac:dyDescent="0.2">
      <c r="A161">
        <v>107</v>
      </c>
      <c r="B161" t="str">
        <v>Pnina Yonayov</v>
      </c>
      <c r="C161">
        <v>3</v>
      </c>
      <c r="D161" s="145">
        <v>115</v>
      </c>
      <c r="E161">
        <v>107</v>
      </c>
      <c r="F161">
        <v>3</v>
      </c>
      <c r="G161" t="str">
        <v>טלפון</v>
      </c>
      <c r="H161" s="145">
        <v>216.93</v>
      </c>
    </row>
    <row r="162" spans="1:8" x14ac:dyDescent="0.2">
      <c r="A162">
        <v>107</v>
      </c>
      <c r="B162" t="str">
        <v>Pnina Yonayov</v>
      </c>
      <c r="C162">
        <v>24</v>
      </c>
      <c r="D162" s="145">
        <v>1114.5999999999999</v>
      </c>
      <c r="E162">
        <v>107</v>
      </c>
      <c r="F162">
        <v>24</v>
      </c>
      <c r="G162" t="str">
        <v>שווי ארוחות</v>
      </c>
      <c r="H162" s="145">
        <v>999.6</v>
      </c>
    </row>
    <row r="163" spans="1:8" x14ac:dyDescent="0.2">
      <c r="A163">
        <v>108</v>
      </c>
      <c r="B163" t="str">
        <v>Arik Sher</v>
      </c>
      <c r="C163">
        <v>3</v>
      </c>
      <c r="D163" s="145">
        <v>115</v>
      </c>
      <c r="E163">
        <v>108</v>
      </c>
      <c r="F163">
        <v>3</v>
      </c>
      <c r="G163" t="str">
        <v>טלפון</v>
      </c>
      <c r="H163" s="145">
        <v>230</v>
      </c>
    </row>
    <row r="164" spans="1:8" x14ac:dyDescent="0.2">
      <c r="A164">
        <v>108</v>
      </c>
      <c r="B164" t="str">
        <v>Arik Sher</v>
      </c>
      <c r="C164">
        <v>24</v>
      </c>
      <c r="D164" s="145">
        <v>1114.99</v>
      </c>
      <c r="E164">
        <v>108</v>
      </c>
      <c r="F164">
        <v>24</v>
      </c>
      <c r="G164" t="str">
        <v>שווי ארוחות</v>
      </c>
      <c r="H164" s="145">
        <v>999.99</v>
      </c>
    </row>
    <row r="165" spans="1:8" x14ac:dyDescent="0.2">
      <c r="A165">
        <v>109</v>
      </c>
      <c r="B165" t="str">
        <v>Ori Netanel Ben Zaken</v>
      </c>
      <c r="C165">
        <v>3</v>
      </c>
      <c r="D165" s="145">
        <v>115</v>
      </c>
      <c r="E165">
        <v>109</v>
      </c>
      <c r="F165">
        <v>3</v>
      </c>
      <c r="G165" t="str">
        <v>טלפון</v>
      </c>
      <c r="H165" s="145">
        <v>281.12</v>
      </c>
    </row>
    <row r="166" spans="1:8" x14ac:dyDescent="0.2">
      <c r="A166">
        <v>109</v>
      </c>
      <c r="B166" t="str">
        <v>Ori Netanel Ben Zaken</v>
      </c>
      <c r="C166">
        <v>24</v>
      </c>
      <c r="D166" s="145">
        <v>1115</v>
      </c>
      <c r="E166">
        <v>109</v>
      </c>
      <c r="F166">
        <v>24</v>
      </c>
      <c r="G166" t="str">
        <v>שווי ארוחות</v>
      </c>
      <c r="H166" s="145">
        <v>1000</v>
      </c>
    </row>
    <row r="167" spans="1:8" x14ac:dyDescent="0.2">
      <c r="A167">
        <v>111</v>
      </c>
      <c r="B167" t="str">
        <v>Alon Rosenblum</v>
      </c>
      <c r="C167">
        <v>3</v>
      </c>
      <c r="D167" s="145">
        <v>115</v>
      </c>
      <c r="E167">
        <v>111</v>
      </c>
      <c r="F167">
        <v>3</v>
      </c>
      <c r="G167" t="str">
        <v>טלפון</v>
      </c>
      <c r="H167" s="145">
        <v>281.14</v>
      </c>
    </row>
    <row r="168" spans="1:8" x14ac:dyDescent="0.2">
      <c r="A168">
        <v>111</v>
      </c>
      <c r="B168" t="str">
        <v>Alon Rosenblum</v>
      </c>
      <c r="C168">
        <v>24</v>
      </c>
      <c r="D168" s="145">
        <v>1115</v>
      </c>
      <c r="E168">
        <v>111</v>
      </c>
      <c r="F168">
        <v>24</v>
      </c>
      <c r="G168" t="str">
        <v>שווי ארוחות</v>
      </c>
      <c r="H168" s="145">
        <v>1000</v>
      </c>
    </row>
    <row r="169" spans="1:8" x14ac:dyDescent="0.2">
      <c r="A169">
        <v>0</v>
      </c>
      <c r="B169">
        <v>0</v>
      </c>
      <c r="C169">
        <v>0</v>
      </c>
      <c r="D169" s="145">
        <v>0</v>
      </c>
      <c r="E169">
        <v>111</v>
      </c>
      <c r="F169">
        <v>61</v>
      </c>
      <c r="G169" t="str">
        <v xml:space="preserve"> שווי אופציות (פ)</v>
      </c>
      <c r="H169" s="145">
        <v>41946.879999999997</v>
      </c>
    </row>
    <row r="170" spans="1:8" x14ac:dyDescent="0.2">
      <c r="A170">
        <v>112</v>
      </c>
      <c r="B170" t="str">
        <v>Barak Haver</v>
      </c>
      <c r="C170">
        <v>3</v>
      </c>
      <c r="D170" s="145">
        <v>115</v>
      </c>
      <c r="E170">
        <v>112</v>
      </c>
      <c r="F170">
        <v>3</v>
      </c>
      <c r="G170" t="str">
        <v>טלפון</v>
      </c>
      <c r="H170" s="145">
        <v>230</v>
      </c>
    </row>
    <row r="171" spans="1:8" x14ac:dyDescent="0.2">
      <c r="A171">
        <v>112</v>
      </c>
      <c r="B171" t="str">
        <v>Barak Haver</v>
      </c>
      <c r="C171">
        <v>24</v>
      </c>
      <c r="D171" s="145">
        <v>1114.9000000000001</v>
      </c>
      <c r="E171">
        <v>112</v>
      </c>
      <c r="F171">
        <v>24</v>
      </c>
      <c r="G171" t="str">
        <v>שווי ארוחות</v>
      </c>
      <c r="H171" s="145">
        <v>999.9</v>
      </c>
    </row>
    <row r="172" spans="1:8" x14ac:dyDescent="0.2">
      <c r="A172">
        <v>113</v>
      </c>
      <c r="B172" t="str">
        <v>Boris Gorin</v>
      </c>
      <c r="C172">
        <v>3</v>
      </c>
      <c r="D172" s="145">
        <v>115</v>
      </c>
      <c r="E172">
        <v>113</v>
      </c>
      <c r="F172">
        <v>3</v>
      </c>
      <c r="G172" t="str">
        <v>טלפון</v>
      </c>
      <c r="H172" s="145">
        <v>230</v>
      </c>
    </row>
    <row r="173" spans="1:8" x14ac:dyDescent="0.2">
      <c r="A173">
        <v>113</v>
      </c>
      <c r="B173" t="str">
        <v>Boris Gorin</v>
      </c>
      <c r="C173">
        <v>24</v>
      </c>
      <c r="D173" s="145">
        <v>1115</v>
      </c>
      <c r="E173">
        <v>113</v>
      </c>
      <c r="F173">
        <v>24</v>
      </c>
      <c r="G173" t="str">
        <v>שווי ארוחות</v>
      </c>
      <c r="H173" s="145">
        <v>1000</v>
      </c>
    </row>
    <row r="174" spans="1:8" x14ac:dyDescent="0.2">
      <c r="A174">
        <v>114</v>
      </c>
      <c r="B174" t="str">
        <v>Carlos Dorin</v>
      </c>
      <c r="C174">
        <v>3</v>
      </c>
      <c r="D174" s="145">
        <v>115</v>
      </c>
      <c r="E174">
        <v>114</v>
      </c>
      <c r="F174">
        <v>3</v>
      </c>
      <c r="G174" t="str">
        <v>טלפון</v>
      </c>
      <c r="H174" s="145">
        <v>216.92</v>
      </c>
    </row>
    <row r="175" spans="1:8" x14ac:dyDescent="0.2">
      <c r="A175">
        <v>114</v>
      </c>
      <c r="B175" t="str">
        <v>Carlos Dorin</v>
      </c>
      <c r="C175">
        <v>24</v>
      </c>
      <c r="D175" s="145">
        <v>1107.0900000000001</v>
      </c>
      <c r="E175">
        <v>114</v>
      </c>
      <c r="F175">
        <v>24</v>
      </c>
      <c r="G175" t="str">
        <v>שווי ארוחות</v>
      </c>
      <c r="H175" s="145">
        <v>992.09</v>
      </c>
    </row>
    <row r="176" spans="1:8" x14ac:dyDescent="0.2">
      <c r="A176">
        <v>115</v>
      </c>
      <c r="B176" t="str">
        <v>Dalia Wolf</v>
      </c>
      <c r="C176">
        <v>3</v>
      </c>
      <c r="D176" s="145">
        <v>115</v>
      </c>
      <c r="E176">
        <v>115</v>
      </c>
      <c r="F176">
        <v>3</v>
      </c>
      <c r="G176" t="str">
        <v>טלפון</v>
      </c>
      <c r="H176" s="145">
        <v>218.48</v>
      </c>
    </row>
    <row r="177" spans="1:8" x14ac:dyDescent="0.2">
      <c r="A177">
        <v>115</v>
      </c>
      <c r="B177" t="str">
        <v>Dalia Wolf</v>
      </c>
      <c r="C177">
        <v>24</v>
      </c>
      <c r="D177" s="145">
        <v>1115</v>
      </c>
      <c r="E177">
        <v>115</v>
      </c>
      <c r="F177">
        <v>24</v>
      </c>
      <c r="G177" t="str">
        <v>שווי ארוחות</v>
      </c>
      <c r="H177" s="145">
        <v>1000</v>
      </c>
    </row>
    <row r="178" spans="1:8" x14ac:dyDescent="0.2">
      <c r="A178">
        <v>117</v>
      </c>
      <c r="B178" t="str">
        <v>Gal Stainfeld</v>
      </c>
      <c r="C178">
        <v>3</v>
      </c>
      <c r="D178" s="145">
        <v>115</v>
      </c>
      <c r="E178">
        <v>117</v>
      </c>
      <c r="F178">
        <v>3</v>
      </c>
      <c r="G178" t="str">
        <v>טלפון</v>
      </c>
      <c r="H178" s="145">
        <v>303.99</v>
      </c>
    </row>
    <row r="179" spans="1:8" x14ac:dyDescent="0.2">
      <c r="A179">
        <v>117</v>
      </c>
      <c r="B179" t="str">
        <v>Gal Stainfeld</v>
      </c>
      <c r="C179">
        <v>24</v>
      </c>
      <c r="D179" s="145">
        <v>1115</v>
      </c>
      <c r="E179">
        <v>117</v>
      </c>
      <c r="F179">
        <v>24</v>
      </c>
      <c r="G179" t="str">
        <v>שווי ארוחות</v>
      </c>
      <c r="H179" s="145">
        <v>1000</v>
      </c>
    </row>
    <row r="180" spans="1:8" x14ac:dyDescent="0.2">
      <c r="A180">
        <v>119</v>
      </c>
      <c r="B180" t="str">
        <v>Lee Ben David</v>
      </c>
      <c r="C180">
        <v>3</v>
      </c>
      <c r="D180" s="145">
        <v>115</v>
      </c>
      <c r="E180">
        <v>119</v>
      </c>
      <c r="F180">
        <v>3</v>
      </c>
      <c r="G180" t="str">
        <v>טלפון</v>
      </c>
      <c r="H180" s="145">
        <v>216.92</v>
      </c>
    </row>
    <row r="181" spans="1:8" x14ac:dyDescent="0.2">
      <c r="A181">
        <v>119</v>
      </c>
      <c r="B181" t="str">
        <v>Lee Ben David</v>
      </c>
      <c r="C181">
        <v>24</v>
      </c>
      <c r="D181" s="145">
        <v>1114.0999999999999</v>
      </c>
      <c r="E181">
        <v>119</v>
      </c>
      <c r="F181">
        <v>24</v>
      </c>
      <c r="G181" t="str">
        <v>שווי ארוחות</v>
      </c>
      <c r="H181" s="145">
        <v>999.1</v>
      </c>
    </row>
    <row r="182" spans="1:8" x14ac:dyDescent="0.2">
      <c r="A182">
        <v>122</v>
      </c>
      <c r="B182" t="str">
        <v>Niv Steingarten</v>
      </c>
      <c r="C182">
        <v>3</v>
      </c>
      <c r="D182" s="145">
        <v>115</v>
      </c>
      <c r="E182">
        <v>122</v>
      </c>
      <c r="F182">
        <v>3</v>
      </c>
      <c r="G182" t="str">
        <v>טלפון</v>
      </c>
      <c r="H182" s="145">
        <v>230</v>
      </c>
    </row>
    <row r="183" spans="1:8" x14ac:dyDescent="0.2">
      <c r="A183">
        <v>122</v>
      </c>
      <c r="B183" t="str">
        <v>Niv Steingarten</v>
      </c>
      <c r="C183">
        <v>24</v>
      </c>
      <c r="D183" s="145">
        <v>1115</v>
      </c>
      <c r="E183">
        <v>122</v>
      </c>
      <c r="F183">
        <v>24</v>
      </c>
      <c r="G183" t="str">
        <v>שווי ארוחות</v>
      </c>
      <c r="H183" s="145">
        <v>1000</v>
      </c>
    </row>
    <row r="184" spans="1:8" x14ac:dyDescent="0.2">
      <c r="A184">
        <v>123</v>
      </c>
      <c r="B184" t="str">
        <v>Shira Shatner</v>
      </c>
      <c r="C184">
        <v>3</v>
      </c>
      <c r="D184" s="145">
        <v>115</v>
      </c>
      <c r="E184">
        <v>123</v>
      </c>
      <c r="F184">
        <v>3</v>
      </c>
      <c r="G184" t="str">
        <v>טלפון</v>
      </c>
      <c r="H184" s="145">
        <v>170.01</v>
      </c>
    </row>
    <row r="185" spans="1:8" x14ac:dyDescent="0.2">
      <c r="A185">
        <v>123</v>
      </c>
      <c r="B185" t="str">
        <v>Shira Shatner</v>
      </c>
      <c r="C185">
        <v>24</v>
      </c>
      <c r="D185" s="145">
        <v>814.59</v>
      </c>
      <c r="E185">
        <v>123</v>
      </c>
      <c r="F185">
        <v>24</v>
      </c>
      <c r="G185" t="str">
        <v>שווי ארוחות</v>
      </c>
      <c r="H185" s="145">
        <v>699.59</v>
      </c>
    </row>
    <row r="186" spans="1:8" x14ac:dyDescent="0.2">
      <c r="A186">
        <v>124</v>
      </c>
      <c r="B186" t="str">
        <v>Tal Ohayon</v>
      </c>
      <c r="C186">
        <v>3</v>
      </c>
      <c r="D186" s="145">
        <v>115</v>
      </c>
      <c r="E186">
        <v>124</v>
      </c>
      <c r="F186">
        <v>3</v>
      </c>
      <c r="G186" t="str">
        <v>טלפון</v>
      </c>
      <c r="H186" s="145">
        <v>303.99</v>
      </c>
    </row>
    <row r="187" spans="1:8" x14ac:dyDescent="0.2">
      <c r="A187">
        <v>0</v>
      </c>
      <c r="B187">
        <v>0</v>
      </c>
      <c r="C187">
        <v>0</v>
      </c>
      <c r="D187" s="145">
        <v>0</v>
      </c>
      <c r="E187">
        <v>124</v>
      </c>
      <c r="F187">
        <v>14</v>
      </c>
      <c r="G187" t="str">
        <v>תשלום הפרש מילואים</v>
      </c>
      <c r="H187" s="145">
        <v>3139</v>
      </c>
    </row>
    <row r="188" spans="1:8" x14ac:dyDescent="0.2">
      <c r="A188">
        <v>124</v>
      </c>
      <c r="B188" t="str">
        <v>Tal Ohayon</v>
      </c>
      <c r="C188">
        <v>24</v>
      </c>
      <c r="D188" s="145">
        <v>1111.77</v>
      </c>
      <c r="E188">
        <v>124</v>
      </c>
      <c r="F188">
        <v>24</v>
      </c>
      <c r="G188" t="str">
        <v>שווי ארוחות</v>
      </c>
      <c r="H188" s="145">
        <v>996.77</v>
      </c>
    </row>
    <row r="189" spans="1:8" x14ac:dyDescent="0.2">
      <c r="A189">
        <v>125</v>
      </c>
      <c r="B189" t="str">
        <v>Yuval Sadon</v>
      </c>
      <c r="C189">
        <v>3</v>
      </c>
      <c r="D189" s="145">
        <v>115</v>
      </c>
      <c r="E189">
        <v>125</v>
      </c>
      <c r="F189">
        <v>3</v>
      </c>
      <c r="G189" t="str">
        <v>טלפון</v>
      </c>
      <c r="H189" s="145">
        <v>218.46</v>
      </c>
    </row>
    <row r="190" spans="1:8" x14ac:dyDescent="0.2">
      <c r="A190">
        <v>125</v>
      </c>
      <c r="B190" t="str">
        <v>Yuval Sadon</v>
      </c>
      <c r="C190">
        <v>24</v>
      </c>
      <c r="D190" s="145">
        <v>922.37</v>
      </c>
      <c r="E190">
        <v>125</v>
      </c>
      <c r="F190">
        <v>24</v>
      </c>
      <c r="G190" t="str">
        <v>שווי ארוחות</v>
      </c>
      <c r="H190" s="145">
        <v>807.37</v>
      </c>
    </row>
    <row r="191" spans="1:8" x14ac:dyDescent="0.2">
      <c r="A191">
        <v>127</v>
      </c>
      <c r="B191" t="str">
        <v>Shaked Cohen</v>
      </c>
      <c r="C191">
        <v>3</v>
      </c>
      <c r="D191" s="145">
        <v>115</v>
      </c>
      <c r="E191">
        <v>127</v>
      </c>
      <c r="F191">
        <v>3</v>
      </c>
      <c r="G191" t="str">
        <v>טלפון</v>
      </c>
      <c r="H191" s="145">
        <v>201.44</v>
      </c>
    </row>
    <row r="192" spans="1:8" x14ac:dyDescent="0.2">
      <c r="A192">
        <v>127</v>
      </c>
      <c r="B192" t="str">
        <v>Shaked Cohen</v>
      </c>
      <c r="C192">
        <v>24</v>
      </c>
      <c r="D192" s="145">
        <v>1110.9000000000001</v>
      </c>
      <c r="E192">
        <v>127</v>
      </c>
      <c r="F192">
        <v>24</v>
      </c>
      <c r="G192" t="str">
        <v>שווי ארוחות</v>
      </c>
      <c r="H192" s="145">
        <v>995.9</v>
      </c>
    </row>
    <row r="193" spans="1:8" x14ac:dyDescent="0.2">
      <c r="A193">
        <v>128</v>
      </c>
      <c r="B193" t="str">
        <v>Evgheneii Bruter</v>
      </c>
      <c r="C193">
        <v>3</v>
      </c>
      <c r="D193" s="145">
        <v>115</v>
      </c>
      <c r="E193">
        <v>128</v>
      </c>
      <c r="F193">
        <v>3</v>
      </c>
      <c r="G193" t="str">
        <v>טלפון</v>
      </c>
      <c r="H193" s="145">
        <v>230</v>
      </c>
    </row>
    <row r="194" spans="1:8" x14ac:dyDescent="0.2">
      <c r="A194">
        <v>128</v>
      </c>
      <c r="B194" t="str">
        <v>Evgheneii Bruter</v>
      </c>
      <c r="C194">
        <v>24</v>
      </c>
      <c r="D194" s="145">
        <v>1114.49</v>
      </c>
      <c r="E194">
        <v>128</v>
      </c>
      <c r="F194">
        <v>24</v>
      </c>
      <c r="G194" t="str">
        <v>שווי ארוחות</v>
      </c>
      <c r="H194" s="145">
        <v>999.49</v>
      </c>
    </row>
    <row r="195" spans="1:8" x14ac:dyDescent="0.2">
      <c r="A195">
        <v>129</v>
      </c>
      <c r="B195" t="str">
        <v>Ravit Rajuan</v>
      </c>
      <c r="C195">
        <v>3</v>
      </c>
      <c r="D195" s="145">
        <v>115</v>
      </c>
      <c r="E195">
        <v>129</v>
      </c>
      <c r="F195">
        <v>3</v>
      </c>
      <c r="G195" t="str">
        <v>טלפון</v>
      </c>
      <c r="H195" s="145">
        <v>216.93</v>
      </c>
    </row>
    <row r="196" spans="1:8" x14ac:dyDescent="0.2">
      <c r="A196">
        <v>129</v>
      </c>
      <c r="B196" t="str">
        <v>Ravit Rajuan</v>
      </c>
      <c r="C196">
        <v>24</v>
      </c>
      <c r="D196" s="145">
        <v>1114.3400000000001</v>
      </c>
      <c r="E196">
        <v>129</v>
      </c>
      <c r="F196">
        <v>24</v>
      </c>
      <c r="G196" t="str">
        <v>שווי ארוחות</v>
      </c>
      <c r="H196" s="145">
        <v>999.34</v>
      </c>
    </row>
    <row r="197" spans="1:8" x14ac:dyDescent="0.2">
      <c r="A197">
        <v>130</v>
      </c>
      <c r="B197" t="str">
        <v>Yuval Adar</v>
      </c>
      <c r="C197">
        <v>3</v>
      </c>
      <c r="D197" s="145">
        <v>115</v>
      </c>
      <c r="E197">
        <v>130</v>
      </c>
      <c r="F197">
        <v>3</v>
      </c>
      <c r="G197" t="str">
        <v>טלפון</v>
      </c>
      <c r="H197" s="145">
        <v>281.14</v>
      </c>
    </row>
    <row r="198" spans="1:8" x14ac:dyDescent="0.2">
      <c r="A198">
        <v>130</v>
      </c>
      <c r="B198" t="str">
        <v>Yuval Adar</v>
      </c>
      <c r="C198">
        <v>24</v>
      </c>
      <c r="D198" s="145">
        <v>1115</v>
      </c>
      <c r="E198">
        <v>130</v>
      </c>
      <c r="F198">
        <v>24</v>
      </c>
      <c r="G198" t="str">
        <v>שווי ארוחות</v>
      </c>
      <c r="H198" s="145">
        <v>1000</v>
      </c>
    </row>
    <row r="199" spans="1:8" x14ac:dyDescent="0.2">
      <c r="A199">
        <v>132</v>
      </c>
      <c r="B199" t="str">
        <v>Issahar Noam Gourfinkel</v>
      </c>
      <c r="C199">
        <v>3</v>
      </c>
      <c r="D199" s="145">
        <v>115</v>
      </c>
      <c r="E199">
        <v>132</v>
      </c>
      <c r="F199">
        <v>3</v>
      </c>
      <c r="G199" t="str">
        <v>טלפון</v>
      </c>
      <c r="H199" s="145">
        <v>216.99</v>
      </c>
    </row>
    <row r="200" spans="1:8" x14ac:dyDescent="0.2">
      <c r="A200">
        <v>132</v>
      </c>
      <c r="B200" t="str">
        <v>Issahar Noam Gourfinkel</v>
      </c>
      <c r="C200">
        <v>24</v>
      </c>
      <c r="D200" s="145">
        <v>1115</v>
      </c>
      <c r="E200">
        <v>132</v>
      </c>
      <c r="F200">
        <v>24</v>
      </c>
      <c r="G200" t="str">
        <v>שווי ארוחות</v>
      </c>
      <c r="H200" s="145">
        <v>1000</v>
      </c>
    </row>
    <row r="201" spans="1:8" x14ac:dyDescent="0.2">
      <c r="A201">
        <v>133</v>
      </c>
      <c r="B201" t="str">
        <v>Anael Ester Eisenschneider Buium</v>
      </c>
      <c r="C201">
        <v>3</v>
      </c>
      <c r="D201" s="145">
        <v>115</v>
      </c>
      <c r="E201">
        <v>133</v>
      </c>
      <c r="F201">
        <v>3</v>
      </c>
      <c r="G201" t="str">
        <v>טלפון</v>
      </c>
      <c r="H201" s="145">
        <v>216.92</v>
      </c>
    </row>
    <row r="202" spans="1:8" x14ac:dyDescent="0.2">
      <c r="A202">
        <v>133</v>
      </c>
      <c r="B202" t="str">
        <v>Anael Ester Eisenschneider Buium</v>
      </c>
      <c r="C202">
        <v>24</v>
      </c>
      <c r="D202" s="145">
        <v>1115</v>
      </c>
      <c r="E202">
        <v>133</v>
      </c>
      <c r="F202">
        <v>24</v>
      </c>
      <c r="G202" t="str">
        <v>שווי ארוחות</v>
      </c>
      <c r="H202" s="145">
        <v>1000</v>
      </c>
    </row>
    <row r="203" spans="1:8" x14ac:dyDescent="0.2">
      <c r="A203">
        <v>134</v>
      </c>
      <c r="B203" t="str">
        <v>Vadim Gurevich</v>
      </c>
      <c r="C203">
        <v>3</v>
      </c>
      <c r="D203" s="145">
        <v>115</v>
      </c>
      <c r="E203">
        <v>134</v>
      </c>
      <c r="F203">
        <v>3</v>
      </c>
      <c r="G203" t="str">
        <v>טלפון</v>
      </c>
      <c r="H203" s="145">
        <v>283.02</v>
      </c>
    </row>
    <row r="204" spans="1:8" x14ac:dyDescent="0.2">
      <c r="A204">
        <v>134</v>
      </c>
      <c r="B204" t="str">
        <v>Vadim Gurevich</v>
      </c>
      <c r="C204">
        <v>24</v>
      </c>
      <c r="D204" s="145">
        <v>994.31</v>
      </c>
      <c r="E204">
        <v>134</v>
      </c>
      <c r="F204">
        <v>24</v>
      </c>
      <c r="G204" t="str">
        <v>שווי ארוחות</v>
      </c>
      <c r="H204" s="145">
        <v>879.31</v>
      </c>
    </row>
    <row r="205" spans="1:8" x14ac:dyDescent="0.2">
      <c r="A205">
        <v>135</v>
      </c>
      <c r="B205" t="str">
        <v>Aviram Sagiv</v>
      </c>
      <c r="C205">
        <v>3</v>
      </c>
      <c r="D205" s="145">
        <v>115</v>
      </c>
      <c r="E205">
        <v>135</v>
      </c>
      <c r="F205">
        <v>3</v>
      </c>
      <c r="G205" t="str">
        <v>טלפון</v>
      </c>
      <c r="H205" s="145">
        <v>230</v>
      </c>
    </row>
    <row r="206" spans="1:8" x14ac:dyDescent="0.2">
      <c r="A206">
        <v>135</v>
      </c>
      <c r="B206" t="str">
        <v>Aviram Sagiv</v>
      </c>
      <c r="C206">
        <v>24</v>
      </c>
      <c r="D206" s="145">
        <v>1114.9000000000001</v>
      </c>
      <c r="E206">
        <v>135</v>
      </c>
      <c r="F206">
        <v>24</v>
      </c>
      <c r="G206" t="str">
        <v>שווי ארוחות</v>
      </c>
      <c r="H206" s="145">
        <v>999.9</v>
      </c>
    </row>
    <row r="207" spans="1:8" x14ac:dyDescent="0.2">
      <c r="A207">
        <v>136</v>
      </c>
      <c r="B207" t="str">
        <v>Liron Nahshon</v>
      </c>
      <c r="C207">
        <v>3</v>
      </c>
      <c r="D207" s="145">
        <v>115</v>
      </c>
      <c r="E207">
        <v>136</v>
      </c>
      <c r="F207">
        <v>3</v>
      </c>
      <c r="G207" t="str">
        <v>טלפון</v>
      </c>
      <c r="H207" s="145">
        <v>216.93</v>
      </c>
    </row>
    <row r="208" spans="1:8" x14ac:dyDescent="0.2">
      <c r="A208">
        <v>136</v>
      </c>
      <c r="B208" t="str">
        <v>Liron Nahshon</v>
      </c>
      <c r="C208">
        <v>24</v>
      </c>
      <c r="D208" s="145">
        <v>1115</v>
      </c>
      <c r="E208">
        <v>136</v>
      </c>
      <c r="F208">
        <v>24</v>
      </c>
      <c r="G208" t="str">
        <v>שווי ארוחות</v>
      </c>
      <c r="H208" s="145">
        <v>1000</v>
      </c>
    </row>
    <row r="209" spans="1:8" x14ac:dyDescent="0.2">
      <c r="A209">
        <v>137</v>
      </c>
      <c r="B209" t="str">
        <v>Guy Castel</v>
      </c>
      <c r="C209">
        <v>3</v>
      </c>
      <c r="D209" s="145">
        <v>115</v>
      </c>
      <c r="E209">
        <v>137</v>
      </c>
      <c r="F209">
        <v>3</v>
      </c>
      <c r="G209" t="str">
        <v>טלפון</v>
      </c>
      <c r="H209" s="145">
        <v>201.45</v>
      </c>
    </row>
    <row r="210" spans="1:8" x14ac:dyDescent="0.2">
      <c r="A210">
        <v>137</v>
      </c>
      <c r="B210" t="str">
        <v>Guy Castel</v>
      </c>
      <c r="C210">
        <v>24</v>
      </c>
      <c r="D210" s="145">
        <v>1115</v>
      </c>
      <c r="E210">
        <v>137</v>
      </c>
      <c r="F210">
        <v>24</v>
      </c>
      <c r="G210" t="str">
        <v>שווי ארוחות</v>
      </c>
      <c r="H210" s="145">
        <v>1000</v>
      </c>
    </row>
    <row r="211" spans="1:8" x14ac:dyDescent="0.2">
      <c r="A211">
        <v>138</v>
      </c>
      <c r="B211" t="str">
        <v>Barak Valzer</v>
      </c>
      <c r="C211">
        <v>3</v>
      </c>
      <c r="D211" s="145">
        <v>115</v>
      </c>
      <c r="E211">
        <v>138</v>
      </c>
      <c r="F211">
        <v>3</v>
      </c>
      <c r="G211" t="str">
        <v>טלפון</v>
      </c>
      <c r="H211" s="145">
        <v>218.48</v>
      </c>
    </row>
    <row r="212" spans="1:8" x14ac:dyDescent="0.2">
      <c r="A212">
        <v>138</v>
      </c>
      <c r="B212" t="str">
        <v>Barak Valzer</v>
      </c>
      <c r="C212">
        <v>24</v>
      </c>
      <c r="D212" s="145">
        <v>884</v>
      </c>
      <c r="E212">
        <v>138</v>
      </c>
      <c r="F212">
        <v>24</v>
      </c>
      <c r="G212" t="str">
        <v>שווי ארוחות</v>
      </c>
      <c r="H212" s="145">
        <v>769</v>
      </c>
    </row>
    <row r="213" spans="1:8" x14ac:dyDescent="0.2">
      <c r="A213">
        <v>139</v>
      </c>
      <c r="B213" t="str">
        <v>Liat Soler</v>
      </c>
      <c r="C213">
        <v>3</v>
      </c>
      <c r="D213" s="145">
        <v>115</v>
      </c>
      <c r="E213">
        <v>139</v>
      </c>
      <c r="F213">
        <v>3</v>
      </c>
      <c r="G213" t="str">
        <v>טלפון</v>
      </c>
      <c r="H213" s="145">
        <v>218.46</v>
      </c>
    </row>
    <row r="214" spans="1:8" x14ac:dyDescent="0.2">
      <c r="A214">
        <v>139</v>
      </c>
      <c r="B214" t="str">
        <v>Liat Soler</v>
      </c>
      <c r="C214">
        <v>24</v>
      </c>
      <c r="D214" s="145">
        <v>115</v>
      </c>
      <c r="E214">
        <v>139</v>
      </c>
      <c r="F214">
        <v>24</v>
      </c>
      <c r="G214" t="str">
        <v>שווי ארוחות</v>
      </c>
      <c r="H214" s="14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7490-C5E9-4ACB-BDD5-653FEBF762EA}">
  <sheetPr>
    <tabColor theme="5" tint="-0.249977111117893"/>
  </sheetPr>
  <dimension ref="A1:K1"/>
  <sheetViews>
    <sheetView rightToLeft="1" topLeftCell="C1" zoomScale="130" zoomScaleNormal="130" workbookViewId="0">
      <selection activeCell="M16" sqref="M16"/>
    </sheetView>
  </sheetViews>
  <sheetFormatPr baseColWidth="10" defaultColWidth="8.83203125" defaultRowHeight="15" x14ac:dyDescent="0.2"/>
  <cols>
    <col min="1" max="1" width="18.1640625" customWidth="1"/>
    <col min="2" max="2" width="19.33203125" style="1" bestFit="1" customWidth="1"/>
    <col min="3" max="3" width="24.33203125" style="1" bestFit="1" customWidth="1"/>
    <col min="4" max="4" width="13" style="145" bestFit="1" customWidth="1"/>
    <col min="9" max="9" width="10.5" style="145" bestFit="1" customWidth="1"/>
    <col min="10" max="11" width="13.6640625" style="145" bestFit="1" customWidth="1"/>
  </cols>
  <sheetData>
    <row r="1" spans="1:11" s="146" customFormat="1" x14ac:dyDescent="0.2">
      <c r="A1" s="146" t="str" cm="1">
        <f t="array" ref="A1:K1">_xlfn._xlws.PY(1,0,DeductionCodes,DeductionData,DedEmp,DedCode,DedName,DedValue)</f>
        <v>No.</v>
      </c>
      <c r="B1" s="150" t="str">
        <v>Employee's name</v>
      </c>
      <c r="C1" s="150" t="str">
        <v>ItemName</v>
      </c>
      <c r="D1" s="147" t="str">
        <v>value</v>
      </c>
      <c r="E1" s="146" t="str">
        <v>Code</v>
      </c>
      <c r="F1" s="146" t="str">
        <v>Sign</v>
      </c>
      <c r="G1" s="146" t="str">
        <v>מספר עובד</v>
      </c>
      <c r="H1" s="146" t="str">
        <v>מספר ניכוי</v>
      </c>
      <c r="I1" s="147" t="str">
        <v>שם הניכוי</v>
      </c>
      <c r="J1" s="147" t="str">
        <v>סכום הניכוי</v>
      </c>
      <c r="K1" s="147" t="str">
        <v>SignedValue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8A20-E203-4922-8717-C48B70D140EB}">
  <sheetPr>
    <tabColor theme="5" tint="-0.249977111117893"/>
  </sheetPr>
  <dimension ref="A1:T6"/>
  <sheetViews>
    <sheetView rightToLeft="1" tabSelected="1" workbookViewId="0">
      <selection activeCell="L1" sqref="L1"/>
    </sheetView>
  </sheetViews>
  <sheetFormatPr baseColWidth="10" defaultColWidth="8.83203125" defaultRowHeight="15" x14ac:dyDescent="0.2"/>
  <cols>
    <col min="1" max="1" width="11.1640625" bestFit="1" customWidth="1"/>
  </cols>
  <sheetData>
    <row r="1" spans="1:20" x14ac:dyDescent="0.2">
      <c r="A1" t="str" cm="1">
        <f t="array" ref="A1:H1">_xlfn._xlws.PY(2,0,SBCID,ClientID,SBCType,SBCdata,SBCcodes)</f>
        <v>No.</v>
      </c>
      <c r="B1" t="str">
        <v>Employee's name</v>
      </c>
      <c r="C1" t="str">
        <v>System</v>
      </c>
      <c r="D1" t="str">
        <v>value</v>
      </c>
      <c r="E1" t="str">
        <v>מספר עובד</v>
      </c>
      <c r="F1" t="str">
        <v>מספר רכיב</v>
      </c>
      <c r="G1" t="str">
        <v>שם רכיב שכר</v>
      </c>
      <c r="H1" t="str">
        <v>סיכום ברוטו</v>
      </c>
      <c r="L1" t="str" cm="1">
        <f t="array" ref="L1:T6">_xlfn._xlws.PY(3,0)</f>
        <v/>
      </c>
      <c r="M1" t="str">
        <v>No.</v>
      </c>
      <c r="N1" t="str">
        <v>Employee's name</v>
      </c>
      <c r="O1" t="str">
        <v>Deductions</v>
      </c>
      <c r="P1" t="str">
        <v>value</v>
      </c>
      <c r="Q1" t="str">
        <v>מספר עובד</v>
      </c>
      <c r="R1" t="str">
        <v>מספר ניכוי</v>
      </c>
      <c r="S1" t="str">
        <v>שם הניכוי</v>
      </c>
      <c r="T1" t="str">
        <v>סכום הניכוי</v>
      </c>
    </row>
    <row r="2" spans="1:20" x14ac:dyDescent="0.2">
      <c r="L2">
        <v>2</v>
      </c>
      <c r="M2">
        <v>14</v>
      </c>
      <c r="N2" t="str">
        <v>Danny Sabag</v>
      </c>
      <c r="O2">
        <v>13</v>
      </c>
      <c r="P2">
        <v>131925.3519012779</v>
      </c>
      <c r="Q2">
        <v>14</v>
      </c>
      <c r="R2">
        <v>13</v>
      </c>
      <c r="S2" t="str">
        <v>מניות</v>
      </c>
      <c r="T2">
        <v>-131925.35999999999</v>
      </c>
    </row>
    <row r="3" spans="1:20" x14ac:dyDescent="0.2">
      <c r="L3">
        <v>4</v>
      </c>
      <c r="M3">
        <v>21</v>
      </c>
      <c r="N3" t="str">
        <v>Esther Shteinberg</v>
      </c>
      <c r="O3">
        <v>13</v>
      </c>
      <c r="P3">
        <v>74739.424067582833</v>
      </c>
      <c r="Q3">
        <v>21</v>
      </c>
      <c r="R3">
        <v>13</v>
      </c>
      <c r="S3" t="str">
        <v>מניות</v>
      </c>
      <c r="T3">
        <v>-74739.429999999993</v>
      </c>
    </row>
    <row r="4" spans="1:20" x14ac:dyDescent="0.2">
      <c r="L4">
        <v>10</v>
      </c>
      <c r="M4">
        <v>28</v>
      </c>
      <c r="N4" t="str">
        <v>Tamir Leshetz</v>
      </c>
      <c r="O4">
        <v>13</v>
      </c>
      <c r="P4">
        <v>41745.925915455213</v>
      </c>
      <c r="Q4">
        <v>28</v>
      </c>
      <c r="R4">
        <v>13</v>
      </c>
      <c r="S4" t="str">
        <v>מניות</v>
      </c>
      <c r="T4">
        <v>-41745.919999999998</v>
      </c>
    </row>
    <row r="5" spans="1:20" x14ac:dyDescent="0.2">
      <c r="L5">
        <v>29</v>
      </c>
      <c r="M5">
        <v>68</v>
      </c>
      <c r="N5" t="str">
        <v>Bar Zukerman</v>
      </c>
      <c r="O5">
        <v>16</v>
      </c>
      <c r="P5">
        <v>21340.344094184245</v>
      </c>
      <c r="Q5">
        <v>68</v>
      </c>
      <c r="R5">
        <v>16</v>
      </c>
      <c r="S5" t="str">
        <v>אופציות</v>
      </c>
      <c r="T5">
        <v>-21340.35</v>
      </c>
    </row>
    <row r="6" spans="1:20" x14ac:dyDescent="0.2">
      <c r="L6">
        <v>38</v>
      </c>
      <c r="M6">
        <v>80</v>
      </c>
      <c r="N6" t="str">
        <v>Ilya Rybak</v>
      </c>
      <c r="O6">
        <v>13</v>
      </c>
      <c r="P6">
        <v>158059.50561015727</v>
      </c>
      <c r="Q6">
        <v>80</v>
      </c>
      <c r="R6">
        <v>13</v>
      </c>
      <c r="S6" t="str">
        <v>מניות</v>
      </c>
      <c r="T6">
        <v>-158059.5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A8D5-E6DE-BD49-A0FB-03025FA85D2B}">
  <dimension ref="A1:I6"/>
  <sheetViews>
    <sheetView rightToLeft="1" workbookViewId="0">
      <selection activeCell="K1" sqref="K1"/>
    </sheetView>
  </sheetViews>
  <sheetFormatPr baseColWidth="10" defaultRowHeight="15" x14ac:dyDescent="0.2"/>
  <sheetData>
    <row r="1" spans="1:9" x14ac:dyDescent="0.2">
      <c r="A1" t="str" cm="1">
        <f t="array" ref="A1:I6">_xlfn._xlws.PY(3,0)</f>
        <v/>
      </c>
      <c r="B1" t="str">
        <v>No.</v>
      </c>
      <c r="C1" t="str">
        <v>Employee's name</v>
      </c>
      <c r="D1" t="str">
        <v>Deductions</v>
      </c>
      <c r="E1" t="str">
        <v>value</v>
      </c>
      <c r="F1" t="str">
        <v>מספר עובד</v>
      </c>
      <c r="G1" t="str">
        <v>מספר ניכוי</v>
      </c>
      <c r="H1" t="str">
        <v>שם הניכוי</v>
      </c>
      <c r="I1" t="str">
        <v>סכום הניכוי</v>
      </c>
    </row>
    <row r="2" spans="1:9" x14ac:dyDescent="0.2">
      <c r="A2">
        <v>2</v>
      </c>
      <c r="B2">
        <v>14</v>
      </c>
      <c r="C2" t="str">
        <v>Danny Sabag</v>
      </c>
      <c r="D2">
        <v>13</v>
      </c>
      <c r="E2">
        <v>131925.3519012779</v>
      </c>
      <c r="F2">
        <v>14</v>
      </c>
      <c r="G2">
        <v>13</v>
      </c>
      <c r="H2" t="str">
        <v>מניות</v>
      </c>
      <c r="I2" s="170">
        <v>-131925.35999999999</v>
      </c>
    </row>
    <row r="3" spans="1:9" x14ac:dyDescent="0.2">
      <c r="A3">
        <v>4</v>
      </c>
      <c r="B3">
        <v>21</v>
      </c>
      <c r="C3" t="str">
        <v>Esther Shteinberg</v>
      </c>
      <c r="D3">
        <v>13</v>
      </c>
      <c r="E3">
        <v>74739.424067582833</v>
      </c>
      <c r="F3">
        <v>21</v>
      </c>
      <c r="G3">
        <v>13</v>
      </c>
      <c r="H3" t="str">
        <v>מניות</v>
      </c>
      <c r="I3">
        <v>-74739.429999999993</v>
      </c>
    </row>
    <row r="4" spans="1:9" x14ac:dyDescent="0.2">
      <c r="A4">
        <v>10</v>
      </c>
      <c r="B4">
        <v>28</v>
      </c>
      <c r="C4" t="str">
        <v>Tamir Leshetz</v>
      </c>
      <c r="D4">
        <v>13</v>
      </c>
      <c r="E4">
        <v>41745.925915455213</v>
      </c>
      <c r="F4">
        <v>28</v>
      </c>
      <c r="G4">
        <v>13</v>
      </c>
      <c r="H4" t="str">
        <v>מניות</v>
      </c>
      <c r="I4">
        <v>-41745.919999999998</v>
      </c>
    </row>
    <row r="5" spans="1:9" x14ac:dyDescent="0.2">
      <c r="A5">
        <v>29</v>
      </c>
      <c r="B5">
        <v>68</v>
      </c>
      <c r="C5" t="str">
        <v>Bar Zukerman</v>
      </c>
      <c r="D5">
        <v>16</v>
      </c>
      <c r="E5">
        <v>21340.344094184245</v>
      </c>
      <c r="F5">
        <v>68</v>
      </c>
      <c r="G5">
        <v>16</v>
      </c>
      <c r="H5" t="str">
        <v>אופציות</v>
      </c>
      <c r="I5">
        <v>-21340.35</v>
      </c>
    </row>
    <row r="6" spans="1:9" x14ac:dyDescent="0.2">
      <c r="A6">
        <v>38</v>
      </c>
      <c r="B6">
        <v>80</v>
      </c>
      <c r="C6" t="str">
        <v>Ilya Rybak</v>
      </c>
      <c r="D6">
        <v>13</v>
      </c>
      <c r="E6">
        <v>158059.50561015727</v>
      </c>
      <c r="F6">
        <v>80</v>
      </c>
      <c r="G6">
        <v>13</v>
      </c>
      <c r="H6" t="str">
        <v>מניות</v>
      </c>
      <c r="I6">
        <v>-158059.5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22</vt:i4>
      </vt:variant>
    </vt:vector>
  </HeadingPairs>
  <TitlesOfParts>
    <vt:vector size="32" baseType="lpstr">
      <vt:lpstr>הערות</vt:lpstr>
      <vt:lpstr>Client</vt:lpstr>
      <vt:lpstr>System</vt:lpstr>
      <vt:lpstr>Deductions</vt:lpstr>
      <vt:lpstr>SBC</vt:lpstr>
      <vt:lpstr>Link</vt:lpstr>
      <vt:lpstr>Payroll_Findings</vt:lpstr>
      <vt:lpstr>WHT_Findings</vt:lpstr>
      <vt:lpstr>SBC_Findings</vt:lpstr>
      <vt:lpstr>Test</vt:lpstr>
      <vt:lpstr>ClientData</vt:lpstr>
      <vt:lpstr>ClientID</vt:lpstr>
      <vt:lpstr>Codes</vt:lpstr>
      <vt:lpstr>DedCode</vt:lpstr>
      <vt:lpstr>DedEmp</vt:lpstr>
      <vt:lpstr>DedName</vt:lpstr>
      <vt:lpstr>DeductionCodes</vt:lpstr>
      <vt:lpstr>DeductionData</vt:lpstr>
      <vt:lpstr>DedValue</vt:lpstr>
      <vt:lpstr>EmpID</vt:lpstr>
      <vt:lpstr>EmpName</vt:lpstr>
      <vt:lpstr>IgnoreCodes</vt:lpstr>
      <vt:lpstr>MinDiff</vt:lpstr>
      <vt:lpstr>SBCcodes</vt:lpstr>
      <vt:lpstr>SBCdata</vt:lpstr>
      <vt:lpstr>SBCID</vt:lpstr>
      <vt:lpstr>SBCType</vt:lpstr>
      <vt:lpstr>SysCode</vt:lpstr>
      <vt:lpstr>SysEmpID</vt:lpstr>
      <vt:lpstr>SysItemName</vt:lpstr>
      <vt:lpstr>SystemData</vt:lpstr>
      <vt:lpstr>SysValue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Ellisheva Levin</dc:creator>
  <cp:keywords/>
  <dc:description/>
  <cp:lastModifiedBy>Tzvika Gross</cp:lastModifiedBy>
  <cp:revision/>
  <dcterms:created xsi:type="dcterms:W3CDTF">2025-11-09T10:16:58Z</dcterms:created>
  <dcterms:modified xsi:type="dcterms:W3CDTF">2026-02-07T22:55:02Z</dcterms:modified>
  <cp:category/>
  <cp:contentStatus/>
</cp:coreProperties>
</file>